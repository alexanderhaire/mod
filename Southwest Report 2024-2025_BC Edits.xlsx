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ryant\Documents\"/>
    </mc:Choice>
  </mc:AlternateContent>
  <xr:revisionPtr revIDLastSave="0" documentId="13_ncr:1_{21F9511E-0FC9-4233-A2E7-F6EF1C5FD4FD}" xr6:coauthVersionLast="45" xr6:coauthVersionMax="45" xr10:uidLastSave="{00000000-0000-0000-0000-000000000000}"/>
  <bookViews>
    <workbookView xWindow="2955" yWindow="630" windowWidth="25395" windowHeight="14970" activeTab="4" xr2:uid="{00000000-000D-0000-FFFF-FFFF00000000}"/>
  </bookViews>
  <sheets>
    <sheet name="New Yearly Report" sheetId="13" r:id="rId1"/>
    <sheet name="New Quarterly Report" sheetId="12" r:id="rId2"/>
    <sheet name="FY13-23 Full Data" sheetId="11" r:id="rId3"/>
    <sheet name="GP QTY" sheetId="9" r:id="rId4"/>
    <sheet name="Quarterly Report" sheetId="1" r:id="rId5"/>
    <sheet name="FY23 Data" sheetId="10" r:id="rId6"/>
    <sheet name="FY22 Data " sheetId="8" r:id="rId7"/>
    <sheet name="FY21 Data" sheetId="7" r:id="rId8"/>
  </sheets>
  <definedNames>
    <definedName name="_xlnm.Print_Area" localSheetId="1">'New Quarterly Report'!$B$4:$AQ$39</definedName>
    <definedName name="_xlnm.Print_Area" localSheetId="0">'New Yearly Report'!$B$3:$M$37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Z13" i="1" l="1"/>
  <c r="DZ33" i="1"/>
  <c r="DZ32" i="1"/>
  <c r="DZ31" i="1"/>
  <c r="DZ30" i="1"/>
  <c r="DZ29" i="1"/>
  <c r="DZ28" i="1"/>
  <c r="DZ27" i="1"/>
  <c r="DZ26" i="1"/>
  <c r="DZ25" i="1"/>
  <c r="DZ24" i="1"/>
  <c r="DZ23" i="1"/>
  <c r="DZ22" i="1"/>
  <c r="DZ21" i="1"/>
  <c r="DZ20" i="1"/>
  <c r="DZ19" i="1"/>
  <c r="DZ18" i="1"/>
  <c r="DZ17" i="1"/>
  <c r="DZ16" i="1"/>
  <c r="DZ15" i="1"/>
  <c r="DZ14" i="1"/>
  <c r="DZ12" i="1"/>
  <c r="DZ11" i="1"/>
  <c r="DZ10" i="1"/>
  <c r="DZ9" i="1"/>
  <c r="DZ8" i="1"/>
  <c r="DZ7" i="1"/>
  <c r="DZ6" i="1"/>
  <c r="DZ5" i="1"/>
  <c r="DZ4" i="1"/>
  <c r="DZ3" i="1"/>
  <c r="DZ2" i="1"/>
  <c r="DU33" i="1" l="1"/>
  <c r="DU32" i="1"/>
  <c r="DU31" i="1"/>
  <c r="DU30" i="1"/>
  <c r="DU29" i="1"/>
  <c r="DU28" i="1"/>
  <c r="DU27" i="1"/>
  <c r="DU26" i="1"/>
  <c r="DU25" i="1"/>
  <c r="DU24" i="1"/>
  <c r="DU23" i="1"/>
  <c r="DU22" i="1"/>
  <c r="DU21" i="1"/>
  <c r="DU20" i="1"/>
  <c r="DU19" i="1"/>
  <c r="DU18" i="1"/>
  <c r="DU17" i="1"/>
  <c r="DU16" i="1"/>
  <c r="DU15" i="1"/>
  <c r="DU14" i="1"/>
  <c r="DU12" i="1"/>
  <c r="DU11" i="1"/>
  <c r="DU10" i="1"/>
  <c r="DU9" i="1"/>
  <c r="DU8" i="1"/>
  <c r="DU7" i="1"/>
  <c r="DU6" i="1"/>
  <c r="DU5" i="1"/>
  <c r="DU4" i="1"/>
  <c r="DU3" i="1"/>
  <c r="DU2" i="1"/>
  <c r="DP33" i="1" l="1"/>
  <c r="DP32" i="1"/>
  <c r="DP31" i="1"/>
  <c r="DP30" i="1"/>
  <c r="DP29" i="1"/>
  <c r="DP28" i="1"/>
  <c r="DP27" i="1"/>
  <c r="DP26" i="1"/>
  <c r="DP25" i="1"/>
  <c r="DP24" i="1"/>
  <c r="DP23" i="1"/>
  <c r="DP22" i="1"/>
  <c r="DP21" i="1"/>
  <c r="DP20" i="1"/>
  <c r="DP19" i="1"/>
  <c r="DP18" i="1"/>
  <c r="DP17" i="1"/>
  <c r="DP16" i="1"/>
  <c r="DP15" i="1"/>
  <c r="DP14" i="1"/>
  <c r="DP12" i="1"/>
  <c r="DP11" i="1"/>
  <c r="DP10" i="1"/>
  <c r="DP9" i="1"/>
  <c r="DP8" i="1"/>
  <c r="DP7" i="1"/>
  <c r="DP6" i="1"/>
  <c r="DP5" i="1"/>
  <c r="DP4" i="1"/>
  <c r="DP3" i="1"/>
  <c r="DP2" i="1"/>
  <c r="AJ18" i="12"/>
  <c r="E5" i="13" l="1"/>
  <c r="F5" i="13" s="1"/>
  <c r="G5" i="13" s="1"/>
  <c r="H5" i="13" s="1"/>
  <c r="I5" i="13" s="1"/>
  <c r="J5" i="13" s="1"/>
  <c r="K5" i="13" s="1"/>
  <c r="L5" i="13" s="1"/>
  <c r="M5" i="13" s="1"/>
  <c r="E1" i="13"/>
  <c r="F1" i="13" s="1"/>
  <c r="G1" i="13" s="1"/>
  <c r="H1" i="13" s="1"/>
  <c r="D37" i="13"/>
  <c r="E36" i="13"/>
  <c r="D36" i="13"/>
  <c r="E35" i="13"/>
  <c r="D35" i="13"/>
  <c r="E34" i="13"/>
  <c r="D34" i="13"/>
  <c r="E33" i="13"/>
  <c r="D33" i="13"/>
  <c r="E32" i="13"/>
  <c r="D32" i="13"/>
  <c r="E31" i="13"/>
  <c r="D31" i="13"/>
  <c r="E30" i="13"/>
  <c r="D30" i="13"/>
  <c r="E29" i="13"/>
  <c r="D29" i="13"/>
  <c r="E28" i="13"/>
  <c r="D28" i="13"/>
  <c r="E27" i="13"/>
  <c r="D27" i="13"/>
  <c r="E26" i="13"/>
  <c r="D26" i="13"/>
  <c r="E25" i="13"/>
  <c r="D25" i="13"/>
  <c r="E24" i="13"/>
  <c r="D24" i="13"/>
  <c r="E23" i="13"/>
  <c r="D23" i="13"/>
  <c r="E22" i="13"/>
  <c r="D22" i="13"/>
  <c r="E21" i="13"/>
  <c r="D21" i="13"/>
  <c r="E20" i="13"/>
  <c r="D20" i="13"/>
  <c r="E19" i="13"/>
  <c r="D19" i="13"/>
  <c r="E18" i="13"/>
  <c r="D18" i="13"/>
  <c r="E17" i="13"/>
  <c r="D17" i="13"/>
  <c r="E16" i="13"/>
  <c r="D16" i="13"/>
  <c r="E15" i="13"/>
  <c r="D15" i="13"/>
  <c r="E14" i="13"/>
  <c r="D14" i="13"/>
  <c r="E13" i="13"/>
  <c r="D13" i="13"/>
  <c r="E12" i="13"/>
  <c r="D12" i="13"/>
  <c r="E11" i="13"/>
  <c r="D11" i="13"/>
  <c r="E10" i="13"/>
  <c r="D10" i="13"/>
  <c r="E9" i="13"/>
  <c r="D9" i="13"/>
  <c r="E8" i="13"/>
  <c r="D8" i="13"/>
  <c r="E7" i="13"/>
  <c r="D7" i="13"/>
  <c r="E6" i="13"/>
  <c r="D6" i="13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AP18" i="12"/>
  <c r="AO18" i="12"/>
  <c r="AN18" i="12"/>
  <c r="AM18" i="12"/>
  <c r="AL18" i="12"/>
  <c r="AK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AQ39" i="12"/>
  <c r="AQ38" i="12"/>
  <c r="AQ37" i="12"/>
  <c r="AQ36" i="12"/>
  <c r="AQ35" i="12"/>
  <c r="AQ34" i="12"/>
  <c r="AQ33" i="12"/>
  <c r="AQ32" i="12"/>
  <c r="AQ31" i="12"/>
  <c r="AQ30" i="12"/>
  <c r="AQ29" i="12"/>
  <c r="AQ28" i="12"/>
  <c r="AQ27" i="12"/>
  <c r="AQ26" i="12"/>
  <c r="AQ25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Q10" i="12"/>
  <c r="AQ9" i="12"/>
  <c r="AQ8" i="12"/>
  <c r="AH1" i="12"/>
  <c r="AL1" i="12" s="1"/>
  <c r="AP1" i="12" s="1"/>
  <c r="AF1" i="12"/>
  <c r="AJ1" i="12" s="1"/>
  <c r="AN1" i="12" s="1"/>
  <c r="H6" i="12"/>
  <c r="L6" i="12" s="1"/>
  <c r="P6" i="12" s="1"/>
  <c r="T6" i="12" s="1"/>
  <c r="X6" i="12" s="1"/>
  <c r="AB6" i="12" s="1"/>
  <c r="AF6" i="12" s="1"/>
  <c r="AJ6" i="12" s="1"/>
  <c r="AN6" i="12" s="1"/>
  <c r="H1" i="12"/>
  <c r="L1" i="12" s="1"/>
  <c r="P1" i="12" s="1"/>
  <c r="T1" i="12" s="1"/>
  <c r="X1" i="12" s="1"/>
  <c r="AB1" i="12" s="1"/>
  <c r="H2" i="12"/>
  <c r="L2" i="12" s="1"/>
  <c r="P2" i="12" s="1"/>
  <c r="T2" i="12" s="1"/>
  <c r="X2" i="12" s="1"/>
  <c r="AB2" i="12" s="1"/>
  <c r="AF2" i="12" s="1"/>
  <c r="AJ2" i="12" s="1"/>
  <c r="AN2" i="12" s="1"/>
  <c r="E2" i="12"/>
  <c r="I2" i="12" s="1"/>
  <c r="M2" i="12" s="1"/>
  <c r="Q2" i="12" s="1"/>
  <c r="U2" i="12" s="1"/>
  <c r="Y2" i="12" s="1"/>
  <c r="AC2" i="12" s="1"/>
  <c r="AG2" i="12" s="1"/>
  <c r="AK2" i="12" s="1"/>
  <c r="AO2" i="12" s="1"/>
  <c r="E1" i="12"/>
  <c r="F1" i="12" s="1"/>
  <c r="J1" i="12" s="1"/>
  <c r="N1" i="12" s="1"/>
  <c r="R1" i="12" s="1"/>
  <c r="V1" i="12" s="1"/>
  <c r="Z1" i="12" s="1"/>
  <c r="AD1" i="12" s="1"/>
  <c r="BT3" i="11"/>
  <c r="CF3" i="11" s="1"/>
  <c r="CR3" i="11" s="1"/>
  <c r="DD3" i="11" s="1"/>
  <c r="DP3" i="11" s="1"/>
  <c r="EB3" i="11" s="1"/>
  <c r="EN3" i="11" s="1"/>
  <c r="EZ3" i="11" s="1"/>
  <c r="BS3" i="11"/>
  <c r="CE3" i="11" s="1"/>
  <c r="CQ3" i="11" s="1"/>
  <c r="DC3" i="11" s="1"/>
  <c r="DO3" i="11" s="1"/>
  <c r="EA3" i="11" s="1"/>
  <c r="EM3" i="11" s="1"/>
  <c r="EY3" i="11" s="1"/>
  <c r="BR3" i="11"/>
  <c r="CD3" i="11" s="1"/>
  <c r="CP3" i="11" s="1"/>
  <c r="DB3" i="11" s="1"/>
  <c r="DN3" i="11" s="1"/>
  <c r="DZ3" i="11" s="1"/>
  <c r="EL3" i="11" s="1"/>
  <c r="EX3" i="11" s="1"/>
  <c r="BQ3" i="11"/>
  <c r="CC3" i="11" s="1"/>
  <c r="CO3" i="11" s="1"/>
  <c r="DA3" i="11" s="1"/>
  <c r="DM3" i="11" s="1"/>
  <c r="DY3" i="11" s="1"/>
  <c r="EK3" i="11" s="1"/>
  <c r="EW3" i="11" s="1"/>
  <c r="BL3" i="11"/>
  <c r="BX3" i="11" s="1"/>
  <c r="CJ3" i="11" s="1"/>
  <c r="CV3" i="11" s="1"/>
  <c r="DH3" i="11" s="1"/>
  <c r="DT3" i="11" s="1"/>
  <c r="EF3" i="11" s="1"/>
  <c r="ER3" i="11" s="1"/>
  <c r="BK3" i="11"/>
  <c r="BW3" i="11" s="1"/>
  <c r="CI3" i="11" s="1"/>
  <c r="CU3" i="11" s="1"/>
  <c r="DG3" i="11" s="1"/>
  <c r="DS3" i="11" s="1"/>
  <c r="EE3" i="11" s="1"/>
  <c r="EQ3" i="11" s="1"/>
  <c r="BJ3" i="11"/>
  <c r="BV3" i="11" s="1"/>
  <c r="CH3" i="11" s="1"/>
  <c r="CT3" i="11" s="1"/>
  <c r="DF3" i="11" s="1"/>
  <c r="DR3" i="11" s="1"/>
  <c r="ED3" i="11" s="1"/>
  <c r="EP3" i="11" s="1"/>
  <c r="BI3" i="11"/>
  <c r="BU3" i="11" s="1"/>
  <c r="CG3" i="11" s="1"/>
  <c r="CS3" i="11" s="1"/>
  <c r="DE3" i="11" s="1"/>
  <c r="DQ3" i="11" s="1"/>
  <c r="EC3" i="11" s="1"/>
  <c r="EO3" i="11" s="1"/>
  <c r="FA3" i="11" s="1"/>
  <c r="BH3" i="11"/>
  <c r="BG3" i="11"/>
  <c r="BF3" i="11"/>
  <c r="BE3" i="11"/>
  <c r="BD3" i="11"/>
  <c r="BP3" i="11" s="1"/>
  <c r="CB3" i="11" s="1"/>
  <c r="CN3" i="11" s="1"/>
  <c r="CZ3" i="11" s="1"/>
  <c r="DL3" i="11" s="1"/>
  <c r="DX3" i="11" s="1"/>
  <c r="EJ3" i="11" s="1"/>
  <c r="EV3" i="11" s="1"/>
  <c r="BC3" i="11"/>
  <c r="BO3" i="11" s="1"/>
  <c r="CA3" i="11" s="1"/>
  <c r="CM3" i="11" s="1"/>
  <c r="CY3" i="11" s="1"/>
  <c r="DK3" i="11" s="1"/>
  <c r="DW3" i="11" s="1"/>
  <c r="EI3" i="11" s="1"/>
  <c r="EU3" i="11" s="1"/>
  <c r="BB3" i="11"/>
  <c r="BN3" i="11" s="1"/>
  <c r="BZ3" i="11" s="1"/>
  <c r="CL3" i="11" s="1"/>
  <c r="CX3" i="11" s="1"/>
  <c r="DJ3" i="11" s="1"/>
  <c r="DV3" i="11" s="1"/>
  <c r="EH3" i="11" s="1"/>
  <c r="ET3" i="11" s="1"/>
  <c r="BA3" i="11"/>
  <c r="BM3" i="11" s="1"/>
  <c r="BY3" i="11" s="1"/>
  <c r="CK3" i="11" s="1"/>
  <c r="CW3" i="11" s="1"/>
  <c r="DI3" i="11" s="1"/>
  <c r="DU3" i="11" s="1"/>
  <c r="EG3" i="11" s="1"/>
  <c r="ES3" i="11" s="1"/>
  <c r="AZ3" i="11"/>
  <c r="AY3" i="11"/>
  <c r="BV2" i="11"/>
  <c r="CH2" i="11" s="1"/>
  <c r="CT2" i="11" s="1"/>
  <c r="DF2" i="11" s="1"/>
  <c r="DR2" i="11" s="1"/>
  <c r="ED2" i="11" s="1"/>
  <c r="EP2" i="11" s="1"/>
  <c r="BU2" i="11"/>
  <c r="CG2" i="11" s="1"/>
  <c r="CS2" i="11" s="1"/>
  <c r="DE2" i="11" s="1"/>
  <c r="DQ2" i="11" s="1"/>
  <c r="EC2" i="11" s="1"/>
  <c r="EO2" i="11" s="1"/>
  <c r="FA2" i="11" s="1"/>
  <c r="BT2" i="11"/>
  <c r="CF2" i="11" s="1"/>
  <c r="CR2" i="11" s="1"/>
  <c r="DD2" i="11" s="1"/>
  <c r="DP2" i="11" s="1"/>
  <c r="EB2" i="11" s="1"/>
  <c r="EN2" i="11" s="1"/>
  <c r="EZ2" i="11" s="1"/>
  <c r="BS2" i="11"/>
  <c r="CE2" i="11" s="1"/>
  <c r="CQ2" i="11" s="1"/>
  <c r="DC2" i="11" s="1"/>
  <c r="DO2" i="11" s="1"/>
  <c r="EA2" i="11" s="1"/>
  <c r="EM2" i="11" s="1"/>
  <c r="EY2" i="11" s="1"/>
  <c r="BN2" i="11"/>
  <c r="BZ2" i="11" s="1"/>
  <c r="CL2" i="11" s="1"/>
  <c r="CX2" i="11" s="1"/>
  <c r="DJ2" i="11" s="1"/>
  <c r="DV2" i="11" s="1"/>
  <c r="EH2" i="11" s="1"/>
  <c r="ET2" i="11" s="1"/>
  <c r="BM2" i="11"/>
  <c r="BY2" i="11" s="1"/>
  <c r="CK2" i="11" s="1"/>
  <c r="CW2" i="11" s="1"/>
  <c r="DI2" i="11" s="1"/>
  <c r="DU2" i="11" s="1"/>
  <c r="EG2" i="11" s="1"/>
  <c r="ES2" i="11" s="1"/>
  <c r="BL2" i="11"/>
  <c r="BX2" i="11" s="1"/>
  <c r="CJ2" i="11" s="1"/>
  <c r="CV2" i="11" s="1"/>
  <c r="DH2" i="11" s="1"/>
  <c r="DT2" i="11" s="1"/>
  <c r="EF2" i="11" s="1"/>
  <c r="ER2" i="11" s="1"/>
  <c r="BK2" i="11"/>
  <c r="BW2" i="11" s="1"/>
  <c r="CI2" i="11" s="1"/>
  <c r="CU2" i="11" s="1"/>
  <c r="DG2" i="11" s="1"/>
  <c r="DS2" i="11" s="1"/>
  <c r="EE2" i="11" s="1"/>
  <c r="EQ2" i="11" s="1"/>
  <c r="BJ2" i="11"/>
  <c r="BI2" i="11"/>
  <c r="BH2" i="11"/>
  <c r="BG2" i="11"/>
  <c r="BF2" i="11"/>
  <c r="BR2" i="11" s="1"/>
  <c r="CD2" i="11" s="1"/>
  <c r="CP2" i="11" s="1"/>
  <c r="DB2" i="11" s="1"/>
  <c r="DN2" i="11" s="1"/>
  <c r="DZ2" i="11" s="1"/>
  <c r="EL2" i="11" s="1"/>
  <c r="EX2" i="11" s="1"/>
  <c r="BE2" i="11"/>
  <c r="BQ2" i="11" s="1"/>
  <c r="CC2" i="11" s="1"/>
  <c r="CO2" i="11" s="1"/>
  <c r="DA2" i="11" s="1"/>
  <c r="DM2" i="11" s="1"/>
  <c r="DY2" i="11" s="1"/>
  <c r="EK2" i="11" s="1"/>
  <c r="EW2" i="11" s="1"/>
  <c r="BD2" i="11"/>
  <c r="BP2" i="11" s="1"/>
  <c r="CB2" i="11" s="1"/>
  <c r="CN2" i="11" s="1"/>
  <c r="CZ2" i="11" s="1"/>
  <c r="DL2" i="11" s="1"/>
  <c r="DX2" i="11" s="1"/>
  <c r="EJ2" i="11" s="1"/>
  <c r="EV2" i="11" s="1"/>
  <c r="BC2" i="11"/>
  <c r="BO2" i="11" s="1"/>
  <c r="CA2" i="11" s="1"/>
  <c r="CM2" i="11" s="1"/>
  <c r="CY2" i="11" s="1"/>
  <c r="DK2" i="11" s="1"/>
  <c r="DW2" i="11" s="1"/>
  <c r="EI2" i="11" s="1"/>
  <c r="EU2" i="11" s="1"/>
  <c r="BB2" i="11"/>
  <c r="BA2" i="11"/>
  <c r="AZ2" i="11"/>
  <c r="AY2" i="11"/>
  <c r="AX3" i="11"/>
  <c r="AX2" i="11"/>
  <c r="AW3" i="11"/>
  <c r="AV3" i="11"/>
  <c r="AV2" i="11"/>
  <c r="AW2" i="11" s="1"/>
  <c r="AR3" i="11"/>
  <c r="AU3" i="11" s="1"/>
  <c r="AQ3" i="11"/>
  <c r="AT3" i="11" s="1"/>
  <c r="AP3" i="11"/>
  <c r="AS3" i="11" s="1"/>
  <c r="AP2" i="11"/>
  <c r="AQ2" i="11" s="1"/>
  <c r="AR2" i="11" s="1"/>
  <c r="AS2" i="11" s="1"/>
  <c r="AT2" i="11" s="1"/>
  <c r="AU2" i="11" s="1"/>
  <c r="AO2" i="11"/>
  <c r="AO3" i="11"/>
  <c r="AN2" i="11"/>
  <c r="AM2" i="11"/>
  <c r="AN3" i="11"/>
  <c r="AM3" i="11"/>
  <c r="B6" i="11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E37" i="13" l="1"/>
  <c r="H27" i="13"/>
  <c r="H9" i="13"/>
  <c r="H19" i="13"/>
  <c r="H33" i="13"/>
  <c r="H32" i="13"/>
  <c r="H11" i="13"/>
  <c r="H25" i="13"/>
  <c r="I1" i="13"/>
  <c r="J1" i="13" s="1"/>
  <c r="K1" i="13" s="1"/>
  <c r="L1" i="13" s="1"/>
  <c r="M1" i="13" s="1"/>
  <c r="H17" i="13"/>
  <c r="H35" i="13"/>
  <c r="H6" i="13"/>
  <c r="H14" i="13"/>
  <c r="H22" i="13"/>
  <c r="H30" i="13"/>
  <c r="H7" i="13"/>
  <c r="H15" i="13"/>
  <c r="H23" i="13"/>
  <c r="H31" i="13"/>
  <c r="H28" i="13"/>
  <c r="H10" i="13"/>
  <c r="H18" i="13"/>
  <c r="H26" i="13"/>
  <c r="H34" i="13"/>
  <c r="H20" i="13"/>
  <c r="H36" i="13"/>
  <c r="H13" i="13"/>
  <c r="H21" i="13"/>
  <c r="H29" i="13"/>
  <c r="H37" i="13"/>
  <c r="H12" i="13"/>
  <c r="H8" i="13"/>
  <c r="H16" i="13"/>
  <c r="H24" i="13"/>
  <c r="F2" i="12"/>
  <c r="I1" i="12"/>
  <c r="M1" i="12" s="1"/>
  <c r="Q1" i="12" s="1"/>
  <c r="U1" i="12" s="1"/>
  <c r="Y1" i="12" s="1"/>
  <c r="AC1" i="12" s="1"/>
  <c r="AG1" i="12" s="1"/>
  <c r="AK1" i="12" s="1"/>
  <c r="AO1" i="12" s="1"/>
  <c r="G1" i="12"/>
  <c r="K1" i="12" s="1"/>
  <c r="O1" i="12" s="1"/>
  <c r="S1" i="12" s="1"/>
  <c r="W1" i="12" s="1"/>
  <c r="AA1" i="12" s="1"/>
  <c r="AE1" i="12" s="1"/>
  <c r="AI1" i="12" s="1"/>
  <c r="AM1" i="12" s="1"/>
  <c r="AQ1" i="12" s="1"/>
  <c r="B7" i="1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DK5" i="1"/>
  <c r="L37" i="13" l="1"/>
  <c r="L29" i="13"/>
  <c r="L21" i="13"/>
  <c r="L13" i="13"/>
  <c r="L22" i="13"/>
  <c r="L34" i="13"/>
  <c r="L26" i="13"/>
  <c r="L18" i="13"/>
  <c r="L10" i="13"/>
  <c r="L33" i="13"/>
  <c r="L17" i="13"/>
  <c r="L6" i="13"/>
  <c r="L31" i="13"/>
  <c r="L23" i="13"/>
  <c r="L15" i="13"/>
  <c r="L7" i="13"/>
  <c r="L25" i="13"/>
  <c r="L9" i="13"/>
  <c r="L30" i="13"/>
  <c r="L16" i="13"/>
  <c r="L8" i="13"/>
  <c r="L36" i="13"/>
  <c r="L28" i="13"/>
  <c r="L20" i="13"/>
  <c r="L12" i="13"/>
  <c r="L14" i="13"/>
  <c r="L35" i="13"/>
  <c r="L27" i="13"/>
  <c r="L19" i="13"/>
  <c r="L11" i="13"/>
  <c r="L32" i="13"/>
  <c r="L24" i="13"/>
  <c r="F32" i="13"/>
  <c r="F24" i="13"/>
  <c r="F37" i="13"/>
  <c r="F29" i="13"/>
  <c r="F21" i="13"/>
  <c r="F20" i="13"/>
  <c r="F19" i="13"/>
  <c r="F18" i="13"/>
  <c r="F17" i="13"/>
  <c r="F16" i="13"/>
  <c r="F35" i="13"/>
  <c r="F27" i="13"/>
  <c r="F33" i="13"/>
  <c r="F25" i="13"/>
  <c r="F14" i="13"/>
  <c r="F6" i="13"/>
  <c r="F11" i="13"/>
  <c r="F36" i="13"/>
  <c r="F28" i="13"/>
  <c r="F8" i="13"/>
  <c r="F34" i="13"/>
  <c r="F30" i="13"/>
  <c r="F26" i="13"/>
  <c r="F22" i="13"/>
  <c r="F12" i="13"/>
  <c r="F31" i="13"/>
  <c r="F15" i="13"/>
  <c r="F13" i="13"/>
  <c r="F7" i="13"/>
  <c r="F23" i="13"/>
  <c r="F10" i="13"/>
  <c r="F9" i="13"/>
  <c r="I31" i="13"/>
  <c r="I23" i="13"/>
  <c r="I36" i="13"/>
  <c r="I28" i="13"/>
  <c r="I34" i="13"/>
  <c r="I26" i="13"/>
  <c r="I32" i="13"/>
  <c r="I24" i="13"/>
  <c r="I8" i="13"/>
  <c r="I13" i="13"/>
  <c r="I30" i="13"/>
  <c r="I35" i="13"/>
  <c r="I27" i="13"/>
  <c r="I18" i="13"/>
  <c r="I22" i="13"/>
  <c r="I19" i="13"/>
  <c r="I10" i="13"/>
  <c r="I14" i="13"/>
  <c r="I20" i="13"/>
  <c r="I12" i="13"/>
  <c r="I7" i="13"/>
  <c r="I17" i="13"/>
  <c r="I16" i="13"/>
  <c r="I6" i="13"/>
  <c r="I29" i="13"/>
  <c r="I15" i="13"/>
  <c r="I21" i="13"/>
  <c r="I9" i="13"/>
  <c r="I25" i="13"/>
  <c r="I33" i="13"/>
  <c r="I37" i="13"/>
  <c r="I11" i="13"/>
  <c r="J2" i="12"/>
  <c r="N2" i="12" s="1"/>
  <c r="R2" i="12" s="1"/>
  <c r="V2" i="12" s="1"/>
  <c r="Z2" i="12" s="1"/>
  <c r="AD2" i="12" s="1"/>
  <c r="AH2" i="12" s="1"/>
  <c r="AL2" i="12" s="1"/>
  <c r="AP2" i="12" s="1"/>
  <c r="G2" i="12"/>
  <c r="K2" i="12" s="1"/>
  <c r="O2" i="12" s="1"/>
  <c r="S2" i="12" s="1"/>
  <c r="W2" i="12" s="1"/>
  <c r="AA2" i="12" s="1"/>
  <c r="AE2" i="12" s="1"/>
  <c r="AI2" i="12" s="1"/>
  <c r="AM2" i="12" s="1"/>
  <c r="AQ2" i="12" s="1"/>
  <c r="AK4" i="11" a="1"/>
  <c r="O15" i="8"/>
  <c r="G37" i="13" l="1"/>
  <c r="G29" i="13"/>
  <c r="G21" i="13"/>
  <c r="G20" i="13"/>
  <c r="G19" i="13"/>
  <c r="G18" i="13"/>
  <c r="G17" i="13"/>
  <c r="G16" i="13"/>
  <c r="G15" i="13"/>
  <c r="G13" i="13"/>
  <c r="G12" i="13"/>
  <c r="G10" i="13"/>
  <c r="G9" i="13"/>
  <c r="G34" i="13"/>
  <c r="G26" i="13"/>
  <c r="G32" i="13"/>
  <c r="G24" i="13"/>
  <c r="G14" i="13"/>
  <c r="G11" i="13"/>
  <c r="G8" i="13"/>
  <c r="G7" i="13"/>
  <c r="G6" i="13"/>
  <c r="G35" i="13"/>
  <c r="G36" i="13"/>
  <c r="G28" i="13"/>
  <c r="G23" i="13"/>
  <c r="G31" i="13"/>
  <c r="G27" i="13"/>
  <c r="G33" i="13"/>
  <c r="G22" i="13"/>
  <c r="G30" i="13"/>
  <c r="G25" i="13"/>
  <c r="J36" i="13"/>
  <c r="J28" i="13"/>
  <c r="J33" i="13"/>
  <c r="J25" i="13"/>
  <c r="J31" i="13"/>
  <c r="J23" i="13"/>
  <c r="J35" i="13"/>
  <c r="J27" i="13"/>
  <c r="J18" i="13"/>
  <c r="J13" i="13"/>
  <c r="J10" i="13"/>
  <c r="J30" i="13"/>
  <c r="J22" i="13"/>
  <c r="J19" i="13"/>
  <c r="J15" i="13"/>
  <c r="J7" i="13"/>
  <c r="J37" i="13"/>
  <c r="J29" i="13"/>
  <c r="J21" i="13"/>
  <c r="J17" i="13"/>
  <c r="J11" i="13"/>
  <c r="J34" i="13"/>
  <c r="J14" i="13"/>
  <c r="J32" i="13"/>
  <c r="J26" i="13"/>
  <c r="J16" i="13"/>
  <c r="J9" i="13"/>
  <c r="J8" i="13"/>
  <c r="J6" i="13"/>
  <c r="J24" i="13"/>
  <c r="J20" i="13"/>
  <c r="J12" i="13"/>
  <c r="M30" i="13"/>
  <c r="M22" i="13"/>
  <c r="M35" i="13"/>
  <c r="M27" i="13"/>
  <c r="M33" i="13"/>
  <c r="M25" i="13"/>
  <c r="M31" i="13"/>
  <c r="M23" i="13"/>
  <c r="M12" i="13"/>
  <c r="M9" i="13"/>
  <c r="M20" i="13"/>
  <c r="M16" i="13"/>
  <c r="M34" i="13"/>
  <c r="M26" i="13"/>
  <c r="M14" i="13"/>
  <c r="M6" i="13"/>
  <c r="M36" i="13"/>
  <c r="M28" i="13"/>
  <c r="M10" i="13"/>
  <c r="M15" i="13"/>
  <c r="M7" i="13"/>
  <c r="M8" i="13"/>
  <c r="M19" i="13"/>
  <c r="M17" i="13"/>
  <c r="M37" i="13"/>
  <c r="M24" i="13"/>
  <c r="M32" i="13"/>
  <c r="M21" i="13"/>
  <c r="M18" i="13"/>
  <c r="M11" i="13"/>
  <c r="M13" i="13"/>
  <c r="M29" i="13"/>
  <c r="AK4" i="11"/>
  <c r="AM4" i="11"/>
  <c r="AW4" i="11"/>
  <c r="BG4" i="11"/>
  <c r="BS4" i="11"/>
  <c r="CC4" i="11"/>
  <c r="CM4" i="11"/>
  <c r="CY4" i="11"/>
  <c r="DI4" i="11"/>
  <c r="DS4" i="11"/>
  <c r="EE4" i="11"/>
  <c r="EO4" i="11"/>
  <c r="EY4" i="11"/>
  <c r="AT5" i="11"/>
  <c r="BD5" i="11"/>
  <c r="BN5" i="11"/>
  <c r="BZ5" i="11"/>
  <c r="CJ5" i="11"/>
  <c r="CT5" i="11"/>
  <c r="DF5" i="11"/>
  <c r="DO5" i="11"/>
  <c r="DX5" i="11"/>
  <c r="EG5" i="11"/>
  <c r="EP5" i="11"/>
  <c r="EY5" i="11"/>
  <c r="AR6" i="11"/>
  <c r="BA6" i="11"/>
  <c r="BJ6" i="11"/>
  <c r="BS6" i="11"/>
  <c r="CB6" i="11"/>
  <c r="CK6" i="11"/>
  <c r="CT6" i="11"/>
  <c r="DD6" i="11"/>
  <c r="DM6" i="11"/>
  <c r="DV6" i="11"/>
  <c r="EE6" i="11"/>
  <c r="EN6" i="11"/>
  <c r="EW6" i="11"/>
  <c r="AO7" i="11"/>
  <c r="AY7" i="11"/>
  <c r="BH7" i="11"/>
  <c r="BQ7" i="11"/>
  <c r="BZ7" i="11"/>
  <c r="CI7" i="11"/>
  <c r="CR7" i="11"/>
  <c r="DA7" i="11"/>
  <c r="DK7" i="11"/>
  <c r="DT7" i="11"/>
  <c r="EC7" i="11"/>
  <c r="EL7" i="11"/>
  <c r="EU7" i="11"/>
  <c r="AM8" i="11"/>
  <c r="AV8" i="11"/>
  <c r="BF8" i="11"/>
  <c r="BO8" i="11"/>
  <c r="BX8" i="11"/>
  <c r="CG8" i="11"/>
  <c r="CP8" i="11"/>
  <c r="CY8" i="11"/>
  <c r="DH8" i="11"/>
  <c r="DR8" i="11"/>
  <c r="EA8" i="11"/>
  <c r="EJ8" i="11"/>
  <c r="ES8" i="11"/>
  <c r="AK9" i="11"/>
  <c r="AT9" i="11"/>
  <c r="BC9" i="11"/>
  <c r="BM9" i="11"/>
  <c r="BV9" i="11"/>
  <c r="CE9" i="11"/>
  <c r="CN9" i="11"/>
  <c r="CW9" i="11"/>
  <c r="DF9" i="11"/>
  <c r="DN9" i="11"/>
  <c r="DV9" i="11"/>
  <c r="ED9" i="11"/>
  <c r="EL9" i="11"/>
  <c r="ET9" i="11"/>
  <c r="AK10" i="11"/>
  <c r="AS10" i="11"/>
  <c r="BA10" i="11"/>
  <c r="BI10" i="11"/>
  <c r="BQ10" i="11"/>
  <c r="BY10" i="11"/>
  <c r="CG10" i="11"/>
  <c r="CO10" i="11"/>
  <c r="CW10" i="11"/>
  <c r="DE10" i="11"/>
  <c r="AN4" i="11"/>
  <c r="AX4" i="11"/>
  <c r="BH4" i="11"/>
  <c r="BT4" i="11"/>
  <c r="CD4" i="11"/>
  <c r="CN4" i="11"/>
  <c r="CZ4" i="11"/>
  <c r="DJ4" i="11"/>
  <c r="DT4" i="11"/>
  <c r="EF4" i="11"/>
  <c r="EP4" i="11"/>
  <c r="EZ4" i="11"/>
  <c r="AU5" i="11"/>
  <c r="BE5" i="11"/>
  <c r="BO5" i="11"/>
  <c r="CA5" i="11"/>
  <c r="CK5" i="11"/>
  <c r="CU5" i="11"/>
  <c r="DG5" i="11"/>
  <c r="DP5" i="11"/>
  <c r="DY5" i="11"/>
  <c r="EH5" i="11"/>
  <c r="EQ5" i="11"/>
  <c r="FA5" i="11"/>
  <c r="AS6" i="11"/>
  <c r="BB6" i="11"/>
  <c r="BK6" i="11"/>
  <c r="BT6" i="11"/>
  <c r="CC6" i="11"/>
  <c r="CL6" i="11"/>
  <c r="CV6" i="11"/>
  <c r="DE6" i="11"/>
  <c r="DN6" i="11"/>
  <c r="DW6" i="11"/>
  <c r="EF6" i="11"/>
  <c r="EO6" i="11"/>
  <c r="EX6" i="11"/>
  <c r="AQ7" i="11"/>
  <c r="AZ7" i="11"/>
  <c r="BI7" i="11"/>
  <c r="BR7" i="11"/>
  <c r="CA7" i="11"/>
  <c r="CJ7" i="11"/>
  <c r="CS7" i="11"/>
  <c r="DC7" i="11"/>
  <c r="DL7" i="11"/>
  <c r="DU7" i="11"/>
  <c r="ED7" i="11"/>
  <c r="EM7" i="11"/>
  <c r="EV7" i="11"/>
  <c r="AN8" i="11"/>
  <c r="AX8" i="11"/>
  <c r="BG8" i="11"/>
  <c r="BP8" i="11"/>
  <c r="BY8" i="11"/>
  <c r="CH8" i="11"/>
  <c r="CQ8" i="11"/>
  <c r="CZ8" i="11"/>
  <c r="DJ8" i="11"/>
  <c r="DS8" i="11"/>
  <c r="EB8" i="11"/>
  <c r="EK8" i="11"/>
  <c r="ET8" i="11"/>
  <c r="AL9" i="11"/>
  <c r="AU9" i="11"/>
  <c r="BE9" i="11"/>
  <c r="BN9" i="11"/>
  <c r="BW9" i="11"/>
  <c r="CF9" i="11"/>
  <c r="CO9" i="11"/>
  <c r="CX9" i="11"/>
  <c r="DG9" i="11"/>
  <c r="DO9" i="11"/>
  <c r="DW9" i="11"/>
  <c r="EE9" i="11"/>
  <c r="EM9" i="11"/>
  <c r="EU9" i="11"/>
  <c r="AL10" i="11"/>
  <c r="AT10" i="11"/>
  <c r="BB10" i="11"/>
  <c r="BJ10" i="11"/>
  <c r="BR10" i="11"/>
  <c r="BZ10" i="11"/>
  <c r="CH10" i="11"/>
  <c r="CP10" i="11"/>
  <c r="AO4" i="11"/>
  <c r="BC4" i="11"/>
  <c r="BO4" i="11"/>
  <c r="CE4" i="11"/>
  <c r="CS4" i="11"/>
  <c r="DG4" i="11"/>
  <c r="DW4" i="11"/>
  <c r="EI4" i="11"/>
  <c r="EW4" i="11"/>
  <c r="AV5" i="11"/>
  <c r="BJ5" i="11"/>
  <c r="BV5" i="11"/>
  <c r="CL5" i="11"/>
  <c r="CZ5" i="11"/>
  <c r="DM5" i="11"/>
  <c r="DZ5" i="11"/>
  <c r="EL5" i="11"/>
  <c r="EW5" i="11"/>
  <c r="AT6" i="11"/>
  <c r="BE6" i="11"/>
  <c r="BQ6" i="11"/>
  <c r="CD6" i="11"/>
  <c r="CP6" i="11"/>
  <c r="DA6" i="11"/>
  <c r="DO6" i="11"/>
  <c r="DZ6" i="11"/>
  <c r="EL6" i="11"/>
  <c r="EZ6" i="11"/>
  <c r="AT7" i="11"/>
  <c r="BE7" i="11"/>
  <c r="BS7" i="11"/>
  <c r="CE7" i="11"/>
  <c r="CP7" i="11"/>
  <c r="DD7" i="11"/>
  <c r="DO7" i="11"/>
  <c r="EA7" i="11"/>
  <c r="EN7" i="11"/>
  <c r="EZ7" i="11"/>
  <c r="AT8" i="11"/>
  <c r="BH8" i="11"/>
  <c r="BS8" i="11"/>
  <c r="CE8" i="11"/>
  <c r="CR8" i="11"/>
  <c r="DD8" i="11"/>
  <c r="DO8" i="11"/>
  <c r="EC8" i="11"/>
  <c r="EN8" i="11"/>
  <c r="EZ8" i="11"/>
  <c r="AW9" i="11"/>
  <c r="BH9" i="11"/>
  <c r="BS9" i="11"/>
  <c r="CG9" i="11"/>
  <c r="CS9" i="11"/>
  <c r="DD9" i="11"/>
  <c r="DP9" i="11"/>
  <c r="DZ9" i="11"/>
  <c r="EJ9" i="11"/>
  <c r="EV9" i="11"/>
  <c r="AO10" i="11"/>
  <c r="AY10" i="11"/>
  <c r="BK10" i="11"/>
  <c r="BU10" i="11"/>
  <c r="CE10" i="11"/>
  <c r="CQ10" i="11"/>
  <c r="CZ10" i="11"/>
  <c r="DI10" i="11"/>
  <c r="DQ10" i="11"/>
  <c r="DY10" i="11"/>
  <c r="EG10" i="11"/>
  <c r="EO10" i="11"/>
  <c r="EW10" i="11"/>
  <c r="AN11" i="11"/>
  <c r="AV11" i="11"/>
  <c r="BD11" i="11"/>
  <c r="BL11" i="11"/>
  <c r="BT11" i="11"/>
  <c r="CB11" i="11"/>
  <c r="CJ11" i="11"/>
  <c r="CR11" i="11"/>
  <c r="CZ11" i="11"/>
  <c r="DH11" i="11"/>
  <c r="DP11" i="11"/>
  <c r="DX11" i="11"/>
  <c r="EF11" i="11"/>
  <c r="EN11" i="11"/>
  <c r="AP4" i="11"/>
  <c r="BD4" i="11"/>
  <c r="BP4" i="11"/>
  <c r="CF4" i="11"/>
  <c r="CT4" i="11"/>
  <c r="DH4" i="11"/>
  <c r="DX4" i="11"/>
  <c r="EJ4" i="11"/>
  <c r="EX4" i="11"/>
  <c r="AW5" i="11"/>
  <c r="BK5" i="11"/>
  <c r="BW5" i="11"/>
  <c r="CM5" i="11"/>
  <c r="DA5" i="11"/>
  <c r="DN5" i="11"/>
  <c r="EA5" i="11"/>
  <c r="EM5" i="11"/>
  <c r="EX5" i="11"/>
  <c r="AU6" i="11"/>
  <c r="BF6" i="11"/>
  <c r="BR6" i="11"/>
  <c r="CF6" i="11"/>
  <c r="CQ6" i="11"/>
  <c r="DB6" i="11"/>
  <c r="DP6" i="11"/>
  <c r="EB6" i="11"/>
  <c r="EM6" i="11"/>
  <c r="FA6" i="11"/>
  <c r="AU7" i="11"/>
  <c r="BG7" i="11"/>
  <c r="BT7" i="11"/>
  <c r="CF7" i="11"/>
  <c r="CQ7" i="11"/>
  <c r="DE7" i="11"/>
  <c r="DP7" i="11"/>
  <c r="EB7" i="11"/>
  <c r="EO7" i="11"/>
  <c r="FA7" i="11"/>
  <c r="AU8" i="11"/>
  <c r="BI8" i="11"/>
  <c r="BT8" i="11"/>
  <c r="CF8" i="11"/>
  <c r="CT8" i="11"/>
  <c r="DE8" i="11"/>
  <c r="DP8" i="11"/>
  <c r="ED8" i="11"/>
  <c r="EP8" i="11"/>
  <c r="FA8" i="11"/>
  <c r="AX9" i="11"/>
  <c r="BI9" i="11"/>
  <c r="BU9" i="11"/>
  <c r="CH9" i="11"/>
  <c r="CT9" i="11"/>
  <c r="DE9" i="11"/>
  <c r="DQ9" i="11"/>
  <c r="EA9" i="11"/>
  <c r="EK9" i="11"/>
  <c r="EW9" i="11"/>
  <c r="AP10" i="11"/>
  <c r="AZ10" i="11"/>
  <c r="BL10" i="11"/>
  <c r="BV10" i="11"/>
  <c r="CF10" i="11"/>
  <c r="CR10" i="11"/>
  <c r="DA10" i="11"/>
  <c r="DJ10" i="11"/>
  <c r="AQ4" i="11"/>
  <c r="BE4" i="11"/>
  <c r="BU4" i="11"/>
  <c r="CI4" i="11"/>
  <c r="CU4" i="11"/>
  <c r="DK4" i="11"/>
  <c r="DY4" i="11"/>
  <c r="EM4" i="11"/>
  <c r="AL5" i="11"/>
  <c r="AX5" i="11"/>
  <c r="BL5" i="11"/>
  <c r="CB5" i="11"/>
  <c r="CP5" i="11"/>
  <c r="DB5" i="11"/>
  <c r="DQ5" i="11"/>
  <c r="EC5" i="11"/>
  <c r="EN5" i="11"/>
  <c r="AK6" i="11"/>
  <c r="AV6" i="11"/>
  <c r="BH6" i="11"/>
  <c r="BU6" i="11"/>
  <c r="CG6" i="11"/>
  <c r="CR6" i="11"/>
  <c r="DF6" i="11"/>
  <c r="DQ6" i="11"/>
  <c r="EC6" i="11"/>
  <c r="EP6" i="11"/>
  <c r="AK7" i="11"/>
  <c r="AV7" i="11"/>
  <c r="BJ7" i="11"/>
  <c r="BU7" i="11"/>
  <c r="CG7" i="11"/>
  <c r="CU7" i="11"/>
  <c r="DF7" i="11"/>
  <c r="DQ7" i="11"/>
  <c r="EE7" i="11"/>
  <c r="EQ7" i="11"/>
  <c r="AK8" i="11"/>
  <c r="AY8" i="11"/>
  <c r="BJ8" i="11"/>
  <c r="BV8" i="11"/>
  <c r="CI8" i="11"/>
  <c r="CU8" i="11"/>
  <c r="DF8" i="11"/>
  <c r="DT8" i="11"/>
  <c r="EE8" i="11"/>
  <c r="EQ8" i="11"/>
  <c r="AM9" i="11"/>
  <c r="AY9" i="11"/>
  <c r="BJ9" i="11"/>
  <c r="BX9" i="11"/>
  <c r="CI9" i="11"/>
  <c r="CU9" i="11"/>
  <c r="DH9" i="11"/>
  <c r="DR9" i="11"/>
  <c r="EB9" i="11"/>
  <c r="EN9" i="11"/>
  <c r="EX9" i="11"/>
  <c r="AQ10" i="11"/>
  <c r="BC10" i="11"/>
  <c r="BM10" i="11"/>
  <c r="BW10" i="11"/>
  <c r="CI10" i="11"/>
  <c r="CS10" i="11"/>
  <c r="DB10" i="11"/>
  <c r="DK10" i="11"/>
  <c r="DS10" i="11"/>
  <c r="EA10" i="11"/>
  <c r="EI10" i="11"/>
  <c r="EQ10" i="11"/>
  <c r="EY10" i="11"/>
  <c r="AP11" i="11"/>
  <c r="AX11" i="11"/>
  <c r="BF11" i="11"/>
  <c r="BN11" i="11"/>
  <c r="BV11" i="11"/>
  <c r="CD11" i="11"/>
  <c r="CL11" i="11"/>
  <c r="CT11" i="11"/>
  <c r="DB11" i="11"/>
  <c r="DJ11" i="11"/>
  <c r="DR11" i="11"/>
  <c r="DZ11" i="11"/>
  <c r="EH11" i="11"/>
  <c r="EP11" i="11"/>
  <c r="EX11" i="11"/>
  <c r="AO12" i="11"/>
  <c r="AW12" i="11"/>
  <c r="AR4" i="11"/>
  <c r="BM4" i="11"/>
  <c r="CK4" i="11"/>
  <c r="DD4" i="11"/>
  <c r="EB4" i="11"/>
  <c r="AM5" i="11"/>
  <c r="BF5" i="11"/>
  <c r="CD5" i="11"/>
  <c r="CY5" i="11"/>
  <c r="DU5" i="11"/>
  <c r="EO5" i="11"/>
  <c r="AO6" i="11"/>
  <c r="BL6" i="11"/>
  <c r="CA6" i="11"/>
  <c r="CX6" i="11"/>
  <c r="DR6" i="11"/>
  <c r="EJ6" i="11"/>
  <c r="AM7" i="11"/>
  <c r="AU4" i="11"/>
  <c r="BN4" i="11"/>
  <c r="CL4" i="11"/>
  <c r="DL4" i="11"/>
  <c r="EG4" i="11"/>
  <c r="AN5" i="11"/>
  <c r="BG5" i="11"/>
  <c r="CE5" i="11"/>
  <c r="DC5" i="11"/>
  <c r="DV5" i="11"/>
  <c r="ES5" i="11"/>
  <c r="AP6" i="11"/>
  <c r="BM6" i="11"/>
  <c r="CH6" i="11"/>
  <c r="CY6" i="11"/>
  <c r="DT6" i="11"/>
  <c r="EK6" i="11"/>
  <c r="AN7" i="11"/>
  <c r="BK7" i="11"/>
  <c r="CB7" i="11"/>
  <c r="CW7" i="11"/>
  <c r="DN7" i="11"/>
  <c r="EI7" i="11"/>
  <c r="AL8" i="11"/>
  <c r="BC8" i="11"/>
  <c r="BZ8" i="11"/>
  <c r="CO8" i="11"/>
  <c r="DL8" i="11"/>
  <c r="EF8" i="11"/>
  <c r="EX8" i="11"/>
  <c r="BA9" i="11"/>
  <c r="BR9" i="11"/>
  <c r="CM9" i="11"/>
  <c r="DI9" i="11"/>
  <c r="DX9" i="11"/>
  <c r="EP9" i="11"/>
  <c r="AN10" i="11"/>
  <c r="BF10" i="11"/>
  <c r="BX10" i="11"/>
  <c r="CM10" i="11"/>
  <c r="DD10" i="11"/>
  <c r="DP10" i="11"/>
  <c r="EB10" i="11"/>
  <c r="EL10" i="11"/>
  <c r="EV10" i="11"/>
  <c r="AQ11" i="11"/>
  <c r="BA11" i="11"/>
  <c r="BK11" i="11"/>
  <c r="BW11" i="11"/>
  <c r="CG11" i="11"/>
  <c r="CQ11" i="11"/>
  <c r="DC11" i="11"/>
  <c r="DM11" i="11"/>
  <c r="DW11" i="11"/>
  <c r="EI11" i="11"/>
  <c r="ES11" i="11"/>
  <c r="AK12" i="11"/>
  <c r="AT12" i="11"/>
  <c r="BC12" i="11"/>
  <c r="BK12" i="11"/>
  <c r="BS12" i="11"/>
  <c r="CA12" i="11"/>
  <c r="CI12" i="11"/>
  <c r="CQ12" i="11"/>
  <c r="CY12" i="11"/>
  <c r="DG12" i="11"/>
  <c r="DO12" i="11"/>
  <c r="DW12" i="11"/>
  <c r="EE12" i="11"/>
  <c r="EM12" i="11"/>
  <c r="EU12" i="11"/>
  <c r="AL13" i="11"/>
  <c r="AT13" i="11"/>
  <c r="BB13" i="11"/>
  <c r="BJ13" i="11"/>
  <c r="BR13" i="11"/>
  <c r="BZ13" i="11"/>
  <c r="CH13" i="11"/>
  <c r="CP13" i="11"/>
  <c r="CX13" i="11"/>
  <c r="DF13" i="11"/>
  <c r="DN13" i="11"/>
  <c r="DV13" i="11"/>
  <c r="ED13" i="11"/>
  <c r="EL13" i="11"/>
  <c r="ET13" i="11"/>
  <c r="AK14" i="11"/>
  <c r="AS14" i="11"/>
  <c r="BA14" i="11"/>
  <c r="BI14" i="11"/>
  <c r="BQ14" i="11"/>
  <c r="BY14" i="11"/>
  <c r="CG14" i="11"/>
  <c r="CO14" i="11"/>
  <c r="CW14" i="11"/>
  <c r="DE14" i="11"/>
  <c r="DM14" i="11"/>
  <c r="DU14" i="11"/>
  <c r="EC14" i="11"/>
  <c r="EK14" i="11"/>
  <c r="ES14" i="11"/>
  <c r="FA14" i="11"/>
  <c r="AR15" i="11"/>
  <c r="AZ15" i="11"/>
  <c r="BH15" i="11"/>
  <c r="BP15" i="11"/>
  <c r="BX15" i="11"/>
  <c r="CF15" i="11"/>
  <c r="CN15" i="11"/>
  <c r="CV15" i="11"/>
  <c r="DD15" i="11"/>
  <c r="DL15" i="11"/>
  <c r="DT15" i="11"/>
  <c r="EB15" i="11"/>
  <c r="EJ15" i="11"/>
  <c r="ER15" i="11"/>
  <c r="EZ15" i="11"/>
  <c r="AQ16" i="11"/>
  <c r="AY16" i="11"/>
  <c r="BG16" i="11"/>
  <c r="BO16" i="11"/>
  <c r="BW16" i="11"/>
  <c r="CE16" i="11"/>
  <c r="CM16" i="11"/>
  <c r="CU16" i="11"/>
  <c r="DC16" i="11"/>
  <c r="DK16" i="11"/>
  <c r="DS16" i="11"/>
  <c r="EA16" i="11"/>
  <c r="EI16" i="11"/>
  <c r="EQ16" i="11"/>
  <c r="EY16" i="11"/>
  <c r="AP17" i="11"/>
  <c r="AX17" i="11"/>
  <c r="BF17" i="11"/>
  <c r="BN17" i="11"/>
  <c r="BV17" i="11"/>
  <c r="CD17" i="11"/>
  <c r="CL17" i="11"/>
  <c r="CT17" i="11"/>
  <c r="DB17" i="11"/>
  <c r="DJ17" i="11"/>
  <c r="DR17" i="11"/>
  <c r="DZ17" i="11"/>
  <c r="EH17" i="11"/>
  <c r="EP17" i="11"/>
  <c r="EX17" i="11"/>
  <c r="AO18" i="11"/>
  <c r="AW18" i="11"/>
  <c r="BE18" i="11"/>
  <c r="BM18" i="11"/>
  <c r="BU18" i="11"/>
  <c r="CC18" i="11"/>
  <c r="CK18" i="11"/>
  <c r="CS18" i="11"/>
  <c r="DA18" i="11"/>
  <c r="DI18" i="11"/>
  <c r="DQ18" i="11"/>
  <c r="DY18" i="11"/>
  <c r="EG18" i="11"/>
  <c r="EO18" i="11"/>
  <c r="EW18" i="11"/>
  <c r="AN19" i="11"/>
  <c r="AV19" i="11"/>
  <c r="BD19" i="11"/>
  <c r="BL19" i="11"/>
  <c r="BT19" i="11"/>
  <c r="CB19" i="11"/>
  <c r="CJ19" i="11"/>
  <c r="CR19" i="11"/>
  <c r="AV4" i="11"/>
  <c r="BX4" i="11"/>
  <c r="DB4" i="11"/>
  <c r="EH4" i="11"/>
  <c r="AQ5" i="11"/>
  <c r="BU5" i="11"/>
  <c r="DH5" i="11"/>
  <c r="EE5" i="11"/>
  <c r="AM6" i="11"/>
  <c r="BN6" i="11"/>
  <c r="CN6" i="11"/>
  <c r="DJ6" i="11"/>
  <c r="ER6" i="11"/>
  <c r="AW7" i="11"/>
  <c r="BP7" i="11"/>
  <c r="CN7" i="11"/>
  <c r="DI7" i="11"/>
  <c r="EG7" i="11"/>
  <c r="AP8" i="11"/>
  <c r="BK8" i="11"/>
  <c r="CD8" i="11"/>
  <c r="DB8" i="11"/>
  <c r="DW8" i="11"/>
  <c r="EU8" i="11"/>
  <c r="AZ9" i="11"/>
  <c r="BY9" i="11"/>
  <c r="CQ9" i="11"/>
  <c r="DL9" i="11"/>
  <c r="EG9" i="11"/>
  <c r="EZ9" i="11"/>
  <c r="BD10" i="11"/>
  <c r="BT10" i="11"/>
  <c r="CN10" i="11"/>
  <c r="DG10" i="11"/>
  <c r="DU10" i="11"/>
  <c r="EF10" i="11"/>
  <c r="ES10" i="11"/>
  <c r="AM11" i="11"/>
  <c r="AZ11" i="11"/>
  <c r="BM11" i="11"/>
  <c r="BY11" i="11"/>
  <c r="CK11" i="11"/>
  <c r="CW11" i="11"/>
  <c r="DI11" i="11"/>
  <c r="DU11" i="11"/>
  <c r="EG11" i="11"/>
  <c r="ET11" i="11"/>
  <c r="AM12" i="11"/>
  <c r="AX12" i="11"/>
  <c r="BG12" i="11"/>
  <c r="BP12" i="11"/>
  <c r="BY12" i="11"/>
  <c r="CH12" i="11"/>
  <c r="CR12" i="11"/>
  <c r="DA12" i="11"/>
  <c r="DJ12" i="11"/>
  <c r="DS12" i="11"/>
  <c r="EB12" i="11"/>
  <c r="EK12" i="11"/>
  <c r="ET12" i="11"/>
  <c r="AM13" i="11"/>
  <c r="AV13" i="11"/>
  <c r="BE13" i="11"/>
  <c r="BN13" i="11"/>
  <c r="BW13" i="11"/>
  <c r="CF13" i="11"/>
  <c r="CO13" i="11"/>
  <c r="CY13" i="11"/>
  <c r="DH13" i="11"/>
  <c r="DQ13" i="11"/>
  <c r="DZ13" i="11"/>
  <c r="EI13" i="11"/>
  <c r="ER13" i="11"/>
  <c r="FA13" i="11"/>
  <c r="AT14" i="11"/>
  <c r="BC14" i="11"/>
  <c r="BL14" i="11"/>
  <c r="BU14" i="11"/>
  <c r="CD14" i="11"/>
  <c r="CM14" i="11"/>
  <c r="CV14" i="11"/>
  <c r="DF14" i="11"/>
  <c r="DO14" i="11"/>
  <c r="DX14" i="11"/>
  <c r="EG14" i="11"/>
  <c r="EP14" i="11"/>
  <c r="EY14" i="11"/>
  <c r="AQ15" i="11"/>
  <c r="BA15" i="11"/>
  <c r="BJ15" i="11"/>
  <c r="BS15" i="11"/>
  <c r="CB15" i="11"/>
  <c r="CK15" i="11"/>
  <c r="CT15" i="11"/>
  <c r="DC15" i="11"/>
  <c r="DM15" i="11"/>
  <c r="DV15" i="11"/>
  <c r="EE15" i="11"/>
  <c r="EN15" i="11"/>
  <c r="EW15" i="11"/>
  <c r="AO16" i="11"/>
  <c r="AX16" i="11"/>
  <c r="BH16" i="11"/>
  <c r="BQ16" i="11"/>
  <c r="BZ16" i="11"/>
  <c r="CI16" i="11"/>
  <c r="CR16" i="11"/>
  <c r="DA16" i="11"/>
  <c r="DJ16" i="11"/>
  <c r="DT16" i="11"/>
  <c r="EC16" i="11"/>
  <c r="EL16" i="11"/>
  <c r="EU16" i="11"/>
  <c r="AM17" i="11"/>
  <c r="AV17" i="11"/>
  <c r="BE17" i="11"/>
  <c r="BO17" i="11"/>
  <c r="BX17" i="11"/>
  <c r="CG17" i="11"/>
  <c r="CP17" i="11"/>
  <c r="CY17" i="11"/>
  <c r="DH17" i="11"/>
  <c r="DQ17" i="11"/>
  <c r="EA17" i="11"/>
  <c r="EJ17" i="11"/>
  <c r="ES17" i="11"/>
  <c r="AK18" i="11"/>
  <c r="AT18" i="11"/>
  <c r="BC18" i="11"/>
  <c r="BL18" i="11"/>
  <c r="BV18" i="11"/>
  <c r="CE18" i="11"/>
  <c r="CN18" i="11"/>
  <c r="CW18" i="11"/>
  <c r="DF18" i="11"/>
  <c r="DO18" i="11"/>
  <c r="DX18" i="11"/>
  <c r="EH18" i="11"/>
  <c r="EQ18" i="11"/>
  <c r="EZ18" i="11"/>
  <c r="AR19" i="11"/>
  <c r="BA19" i="11"/>
  <c r="BJ19" i="11"/>
  <c r="BS19" i="11"/>
  <c r="CC19" i="11"/>
  <c r="CL19" i="11"/>
  <c r="CU19" i="11"/>
  <c r="DC19" i="11"/>
  <c r="DK19" i="11"/>
  <c r="DS19" i="11"/>
  <c r="EA19" i="11"/>
  <c r="EI19" i="11"/>
  <c r="EQ19" i="11"/>
  <c r="EY19" i="11"/>
  <c r="AP20" i="11"/>
  <c r="AX20" i="11"/>
  <c r="BF20" i="11"/>
  <c r="BN20" i="11"/>
  <c r="BV20" i="11"/>
  <c r="CD20" i="11"/>
  <c r="CL20" i="11"/>
  <c r="CT20" i="11"/>
  <c r="DB20" i="11"/>
  <c r="DJ20" i="11"/>
  <c r="DR20" i="11"/>
  <c r="DZ20" i="11"/>
  <c r="EH20" i="11"/>
  <c r="EP20" i="11"/>
  <c r="EX20" i="11"/>
  <c r="AO21" i="11"/>
  <c r="AY4" i="11"/>
  <c r="CA4" i="11"/>
  <c r="DC4" i="11"/>
  <c r="EN4" i="11"/>
  <c r="AY5" i="11"/>
  <c r="CC5" i="11"/>
  <c r="DI5" i="11"/>
  <c r="EF5" i="11"/>
  <c r="AN6" i="11"/>
  <c r="BP6" i="11"/>
  <c r="CO6" i="11"/>
  <c r="DL6" i="11"/>
  <c r="ES6" i="11"/>
  <c r="BA7" i="11"/>
  <c r="BW7" i="11"/>
  <c r="CO7" i="11"/>
  <c r="DM7" i="11"/>
  <c r="EJ7" i="11"/>
  <c r="AQ8" i="11"/>
  <c r="BL8" i="11"/>
  <c r="CJ8" i="11"/>
  <c r="DC8" i="11"/>
  <c r="DX8" i="11"/>
  <c r="EV8" i="11"/>
  <c r="BB9" i="11"/>
  <c r="BZ9" i="11"/>
  <c r="CV9" i="11"/>
  <c r="DM9" i="11"/>
  <c r="EH9" i="11"/>
  <c r="FA9" i="11"/>
  <c r="BE10" i="11"/>
  <c r="CA10" i="11"/>
  <c r="CT10" i="11"/>
  <c r="DH10" i="11"/>
  <c r="DV10" i="11"/>
  <c r="EH10" i="11"/>
  <c r="ET10" i="11"/>
  <c r="AO11" i="11"/>
  <c r="BB11" i="11"/>
  <c r="BO11" i="11"/>
  <c r="BZ11" i="11"/>
  <c r="CM11" i="11"/>
  <c r="CX11" i="11"/>
  <c r="DK11" i="11"/>
  <c r="DV11" i="11"/>
  <c r="EJ11" i="11"/>
  <c r="EU11" i="11"/>
  <c r="AN12" i="11"/>
  <c r="AY12" i="11"/>
  <c r="BH12" i="11"/>
  <c r="BQ12" i="11"/>
  <c r="BZ12" i="11"/>
  <c r="CJ12" i="11"/>
  <c r="CS12" i="11"/>
  <c r="DB12" i="11"/>
  <c r="DK12" i="11"/>
  <c r="DT12" i="11"/>
  <c r="EC12" i="11"/>
  <c r="EL12" i="11"/>
  <c r="EV12" i="11"/>
  <c r="AN13" i="11"/>
  <c r="AW13" i="11"/>
  <c r="BF13" i="11"/>
  <c r="BO13" i="11"/>
  <c r="BX13" i="11"/>
  <c r="CG13" i="11"/>
  <c r="CQ13" i="11"/>
  <c r="CZ13" i="11"/>
  <c r="DI13" i="11"/>
  <c r="DR13" i="11"/>
  <c r="EA13" i="11"/>
  <c r="EJ13" i="11"/>
  <c r="ES13" i="11"/>
  <c r="AL14" i="11"/>
  <c r="AU14" i="11"/>
  <c r="BD14" i="11"/>
  <c r="BM14" i="11"/>
  <c r="BV14" i="11"/>
  <c r="CE14" i="11"/>
  <c r="CN14" i="11"/>
  <c r="CX14" i="11"/>
  <c r="DG14" i="11"/>
  <c r="DP14" i="11"/>
  <c r="DY14" i="11"/>
  <c r="EH14" i="11"/>
  <c r="EQ14" i="11"/>
  <c r="EZ14" i="11"/>
  <c r="AS15" i="11"/>
  <c r="BB15" i="11"/>
  <c r="BK15" i="11"/>
  <c r="BT15" i="11"/>
  <c r="CC15" i="11"/>
  <c r="CL15" i="11"/>
  <c r="CU15" i="11"/>
  <c r="DE15" i="11"/>
  <c r="DN15" i="11"/>
  <c r="DW15" i="11"/>
  <c r="EF15" i="11"/>
  <c r="EO15" i="11"/>
  <c r="EX15" i="11"/>
  <c r="AP16" i="11"/>
  <c r="AZ16" i="11"/>
  <c r="BI16" i="11"/>
  <c r="BR16" i="11"/>
  <c r="CA16" i="11"/>
  <c r="CJ16" i="11"/>
  <c r="CS16" i="11"/>
  <c r="DB16" i="11"/>
  <c r="DL16" i="11"/>
  <c r="DU16" i="11"/>
  <c r="ED16" i="11"/>
  <c r="EM16" i="11"/>
  <c r="EV16" i="11"/>
  <c r="AN17" i="11"/>
  <c r="AW17" i="11"/>
  <c r="BG17" i="11"/>
  <c r="BP17" i="11"/>
  <c r="BY17" i="11"/>
  <c r="CH17" i="11"/>
  <c r="CQ17" i="11"/>
  <c r="CZ17" i="11"/>
  <c r="DI17" i="11"/>
  <c r="DS17" i="11"/>
  <c r="EB17" i="11"/>
  <c r="EK17" i="11"/>
  <c r="ET17" i="11"/>
  <c r="AL18" i="11"/>
  <c r="AU18" i="11"/>
  <c r="BD18" i="11"/>
  <c r="BN18" i="11"/>
  <c r="BW18" i="11"/>
  <c r="CF18" i="11"/>
  <c r="CO18" i="11"/>
  <c r="CX18" i="11"/>
  <c r="DG18" i="11"/>
  <c r="DP18" i="11"/>
  <c r="DZ18" i="11"/>
  <c r="EI18" i="11"/>
  <c r="ER18" i="11"/>
  <c r="FA18" i="11"/>
  <c r="AS19" i="11"/>
  <c r="BB19" i="11"/>
  <c r="BK19" i="11"/>
  <c r="BU19" i="11"/>
  <c r="CD19" i="11"/>
  <c r="CM19" i="11"/>
  <c r="CV19" i="11"/>
  <c r="DD19" i="11"/>
  <c r="DL19" i="11"/>
  <c r="DT19" i="11"/>
  <c r="EB19" i="11"/>
  <c r="EJ19" i="11"/>
  <c r="ER19" i="11"/>
  <c r="EZ19" i="11"/>
  <c r="AQ20" i="11"/>
  <c r="AY20" i="11"/>
  <c r="BG20" i="11"/>
  <c r="BO20" i="11"/>
  <c r="BW20" i="11"/>
  <c r="CE20" i="11"/>
  <c r="CM20" i="11"/>
  <c r="CU20" i="11"/>
  <c r="DC20" i="11"/>
  <c r="DK20" i="11"/>
  <c r="DS20" i="11"/>
  <c r="EA20" i="11"/>
  <c r="EI20" i="11"/>
  <c r="EQ20" i="11"/>
  <c r="EY20" i="11"/>
  <c r="AP21" i="11"/>
  <c r="AX21" i="11"/>
  <c r="BF21" i="11"/>
  <c r="AZ4" i="11"/>
  <c r="CB4" i="11"/>
  <c r="DO4" i="11"/>
  <c r="EQ4" i="11"/>
  <c r="BB5" i="11"/>
  <c r="CH5" i="11"/>
  <c r="DJ5" i="11"/>
  <c r="EI5" i="11"/>
  <c r="AW6" i="11"/>
  <c r="BV6" i="11"/>
  <c r="CS6" i="11"/>
  <c r="DU6" i="11"/>
  <c r="ET6" i="11"/>
  <c r="BB7" i="11"/>
  <c r="BX7" i="11"/>
  <c r="CV7" i="11"/>
  <c r="DS7" i="11"/>
  <c r="EK7" i="11"/>
  <c r="AR8" i="11"/>
  <c r="BN8" i="11"/>
  <c r="CL8" i="11"/>
  <c r="DG8" i="11"/>
  <c r="DZ8" i="11"/>
  <c r="EY8" i="11"/>
  <c r="BF9" i="11"/>
  <c r="CA9" i="11"/>
  <c r="CY9" i="11"/>
  <c r="DS9" i="11"/>
  <c r="EI9" i="11"/>
  <c r="AM10" i="11"/>
  <c r="BG10" i="11"/>
  <c r="CB10" i="11"/>
  <c r="CU10" i="11"/>
  <c r="DL10" i="11"/>
  <c r="DW10" i="11"/>
  <c r="EJ10" i="11"/>
  <c r="EU10" i="11"/>
  <c r="AR11" i="11"/>
  <c r="BC11" i="11"/>
  <c r="BP11" i="11"/>
  <c r="CA11" i="11"/>
  <c r="CN11" i="11"/>
  <c r="CY11" i="11"/>
  <c r="DL11" i="11"/>
  <c r="DY11" i="11"/>
  <c r="EK11" i="11"/>
  <c r="EV11" i="11"/>
  <c r="AP12" i="11"/>
  <c r="AZ12" i="11"/>
  <c r="BI12" i="11"/>
  <c r="BR12" i="11"/>
  <c r="CB12" i="11"/>
  <c r="CK12" i="11"/>
  <c r="CT12" i="11"/>
  <c r="DC12" i="11"/>
  <c r="DL12" i="11"/>
  <c r="DU12" i="11"/>
  <c r="ED12" i="11"/>
  <c r="EN12" i="11"/>
  <c r="EW12" i="11"/>
  <c r="AO13" i="11"/>
  <c r="AX13" i="11"/>
  <c r="BG13" i="11"/>
  <c r="BP13" i="11"/>
  <c r="BY13" i="11"/>
  <c r="CI13" i="11"/>
  <c r="CR13" i="11"/>
  <c r="DA13" i="11"/>
  <c r="DJ13" i="11"/>
  <c r="DS13" i="11"/>
  <c r="EB13" i="11"/>
  <c r="EK13" i="11"/>
  <c r="EU13" i="11"/>
  <c r="AM14" i="11"/>
  <c r="AV14" i="11"/>
  <c r="BE14" i="11"/>
  <c r="BN14" i="11"/>
  <c r="BW14" i="11"/>
  <c r="CF14" i="11"/>
  <c r="CP14" i="11"/>
  <c r="CY14" i="11"/>
  <c r="DH14" i="11"/>
  <c r="DQ14" i="11"/>
  <c r="DZ14" i="11"/>
  <c r="EI14" i="11"/>
  <c r="ER14" i="11"/>
  <c r="AK15" i="11"/>
  <c r="AT15" i="11"/>
  <c r="BC15" i="11"/>
  <c r="BL15" i="11"/>
  <c r="BU15" i="11"/>
  <c r="CD15" i="11"/>
  <c r="CM15" i="11"/>
  <c r="CW15" i="11"/>
  <c r="DF15" i="11"/>
  <c r="DO15" i="11"/>
  <c r="DX15" i="11"/>
  <c r="EG15" i="11"/>
  <c r="EP15" i="11"/>
  <c r="EY15" i="11"/>
  <c r="AR16" i="11"/>
  <c r="BA16" i="11"/>
  <c r="BJ16" i="11"/>
  <c r="BS16" i="11"/>
  <c r="CB16" i="11"/>
  <c r="CK16" i="11"/>
  <c r="CT16" i="11"/>
  <c r="DD16" i="11"/>
  <c r="DM16" i="11"/>
  <c r="DV16" i="11"/>
  <c r="EE16" i="11"/>
  <c r="EN16" i="11"/>
  <c r="EW16" i="11"/>
  <c r="AO17" i="11"/>
  <c r="AY17" i="11"/>
  <c r="BH17" i="11"/>
  <c r="BQ17" i="11"/>
  <c r="BZ17" i="11"/>
  <c r="CI17" i="11"/>
  <c r="CR17" i="11"/>
  <c r="DA17" i="11"/>
  <c r="DK17" i="11"/>
  <c r="DT17" i="11"/>
  <c r="EC17" i="11"/>
  <c r="EL17" i="11"/>
  <c r="EU17" i="11"/>
  <c r="AM18" i="11"/>
  <c r="AV18" i="11"/>
  <c r="BF18" i="11"/>
  <c r="BO18" i="11"/>
  <c r="BX18" i="11"/>
  <c r="CG18" i="11"/>
  <c r="CP18" i="11"/>
  <c r="CY18" i="11"/>
  <c r="DH18" i="11"/>
  <c r="DR18" i="11"/>
  <c r="EA18" i="11"/>
  <c r="EJ18" i="11"/>
  <c r="ES18" i="11"/>
  <c r="AK19" i="11"/>
  <c r="AT19" i="11"/>
  <c r="BC19" i="11"/>
  <c r="BM19" i="11"/>
  <c r="BV19" i="11"/>
  <c r="CE19" i="11"/>
  <c r="CN19" i="11"/>
  <c r="CW19" i="11"/>
  <c r="DE19" i="11"/>
  <c r="DM19" i="11"/>
  <c r="DU19" i="11"/>
  <c r="EC19" i="11"/>
  <c r="EK19" i="11"/>
  <c r="ES19" i="11"/>
  <c r="FA19" i="11"/>
  <c r="AR20" i="11"/>
  <c r="AZ20" i="11"/>
  <c r="BH20" i="11"/>
  <c r="BP20" i="11"/>
  <c r="BX20" i="11"/>
  <c r="CF20" i="11"/>
  <c r="CN20" i="11"/>
  <c r="CV20" i="11"/>
  <c r="DD20" i="11"/>
  <c r="DL20" i="11"/>
  <c r="DT20" i="11"/>
  <c r="EB20" i="11"/>
  <c r="EJ20" i="11"/>
  <c r="ER20" i="11"/>
  <c r="EZ20" i="11"/>
  <c r="AQ21" i="11"/>
  <c r="BF4" i="11"/>
  <c r="CV4" i="11"/>
  <c r="EU4" i="11"/>
  <c r="BT5" i="11"/>
  <c r="DS5" i="11"/>
  <c r="AX6" i="11"/>
  <c r="CI6" i="11"/>
  <c r="DY6" i="11"/>
  <c r="AS7" i="11"/>
  <c r="CH7" i="11"/>
  <c r="DV7" i="11"/>
  <c r="EW7" i="11"/>
  <c r="BR8" i="11"/>
  <c r="CX8" i="11"/>
  <c r="EL8" i="11"/>
  <c r="BG9" i="11"/>
  <c r="CL9" i="11"/>
  <c r="DU9" i="11"/>
  <c r="EY9" i="11"/>
  <c r="BO10" i="11"/>
  <c r="CV10" i="11"/>
  <c r="DR10" i="11"/>
  <c r="EM10" i="11"/>
  <c r="AL11" i="11"/>
  <c r="BH11" i="11"/>
  <c r="CC11" i="11"/>
  <c r="CU11" i="11"/>
  <c r="DO11" i="11"/>
  <c r="EE11" i="11"/>
  <c r="EZ11" i="11"/>
  <c r="BA12" i="11"/>
  <c r="BN12" i="11"/>
  <c r="CD12" i="11"/>
  <c r="CP12" i="11"/>
  <c r="DF12" i="11"/>
  <c r="DV12" i="11"/>
  <c r="EI12" i="11"/>
  <c r="EY12" i="11"/>
  <c r="AU13" i="11"/>
  <c r="BK13" i="11"/>
  <c r="CA13" i="11"/>
  <c r="CM13" i="11"/>
  <c r="DC13" i="11"/>
  <c r="DP13" i="11"/>
  <c r="EF13" i="11"/>
  <c r="EV13" i="11"/>
  <c r="AQ14" i="11"/>
  <c r="BG14" i="11"/>
  <c r="BT14" i="11"/>
  <c r="CJ14" i="11"/>
  <c r="CZ14" i="11"/>
  <c r="DL14" i="11"/>
  <c r="EB14" i="11"/>
  <c r="EO14" i="11"/>
  <c r="AN15" i="11"/>
  <c r="BD15" i="11"/>
  <c r="BQ15" i="11"/>
  <c r="CG15" i="11"/>
  <c r="CS15" i="11"/>
  <c r="DI15" i="11"/>
  <c r="DY15" i="11"/>
  <c r="EL15" i="11"/>
  <c r="AK16" i="11"/>
  <c r="AW16" i="11"/>
  <c r="BM16" i="11"/>
  <c r="CC16" i="11"/>
  <c r="CP16" i="11"/>
  <c r="DF16" i="11"/>
  <c r="DR16" i="11"/>
  <c r="EH16" i="11"/>
  <c r="EX16" i="11"/>
  <c r="AT17" i="11"/>
  <c r="BJ17" i="11"/>
  <c r="BW17" i="11"/>
  <c r="CM17" i="11"/>
  <c r="DC17" i="11"/>
  <c r="DO17" i="11"/>
  <c r="EE17" i="11"/>
  <c r="ER17" i="11"/>
  <c r="AQ18" i="11"/>
  <c r="BG18" i="11"/>
  <c r="BS18" i="11"/>
  <c r="CI18" i="11"/>
  <c r="CV18" i="11"/>
  <c r="DL18" i="11"/>
  <c r="EB18" i="11"/>
  <c r="EN18" i="11"/>
  <c r="AM19" i="11"/>
  <c r="AZ19" i="11"/>
  <c r="BP19" i="11"/>
  <c r="CF19" i="11"/>
  <c r="CS19" i="11"/>
  <c r="DG19" i="11"/>
  <c r="DR19" i="11"/>
  <c r="EF19" i="11"/>
  <c r="ET19" i="11"/>
  <c r="AN20" i="11"/>
  <c r="BB20" i="11"/>
  <c r="BM20" i="11"/>
  <c r="CA20" i="11"/>
  <c r="CO20" i="11"/>
  <c r="CZ20" i="11"/>
  <c r="DN20" i="11"/>
  <c r="DY20" i="11"/>
  <c r="EM20" i="11"/>
  <c r="FA20" i="11"/>
  <c r="AU21" i="11"/>
  <c r="BD21" i="11"/>
  <c r="BM21" i="11"/>
  <c r="BU21" i="11"/>
  <c r="CC21" i="11"/>
  <c r="CK21" i="11"/>
  <c r="CS21" i="11"/>
  <c r="DA21" i="11"/>
  <c r="DI21" i="11"/>
  <c r="DQ21" i="11"/>
  <c r="DY21" i="11"/>
  <c r="EG21" i="11"/>
  <c r="EO21" i="11"/>
  <c r="EW21" i="11"/>
  <c r="AN22" i="11"/>
  <c r="AV22" i="11"/>
  <c r="BD22" i="11"/>
  <c r="BL22" i="11"/>
  <c r="BT22" i="11"/>
  <c r="CB22" i="11"/>
  <c r="CJ22" i="11"/>
  <c r="CR22" i="11"/>
  <c r="CZ22" i="11"/>
  <c r="DH22" i="11"/>
  <c r="DP22" i="11"/>
  <c r="DX22" i="11"/>
  <c r="EF22" i="11"/>
  <c r="EN22" i="11"/>
  <c r="EV22" i="11"/>
  <c r="AM23" i="11"/>
  <c r="AU23" i="11"/>
  <c r="BC23" i="11"/>
  <c r="BK23" i="11"/>
  <c r="BS23" i="11"/>
  <c r="CA23" i="11"/>
  <c r="CI23" i="11"/>
  <c r="CQ23" i="11"/>
  <c r="CY23" i="11"/>
  <c r="DG23" i="11"/>
  <c r="DO23" i="11"/>
  <c r="DW23" i="11"/>
  <c r="EE23" i="11"/>
  <c r="EM23" i="11"/>
  <c r="EU23" i="11"/>
  <c r="AL24" i="11"/>
  <c r="AT24" i="11"/>
  <c r="BB24" i="11"/>
  <c r="BJ24" i="11"/>
  <c r="BR24" i="11"/>
  <c r="BZ24" i="11"/>
  <c r="CH24" i="11"/>
  <c r="CP24" i="11"/>
  <c r="CX24" i="11"/>
  <c r="DF24" i="11"/>
  <c r="DN24" i="11"/>
  <c r="DV24" i="11"/>
  <c r="ED24" i="11"/>
  <c r="EL24" i="11"/>
  <c r="ET24" i="11"/>
  <c r="AK25" i="11"/>
  <c r="AS25" i="11"/>
  <c r="BA25" i="11"/>
  <c r="BI25" i="11"/>
  <c r="BQ25" i="11"/>
  <c r="BY25" i="11"/>
  <c r="CG25" i="11"/>
  <c r="CO25" i="11"/>
  <c r="CW25" i="11"/>
  <c r="DE25" i="11"/>
  <c r="DM25" i="11"/>
  <c r="DU25" i="11"/>
  <c r="EC25" i="11"/>
  <c r="EK25" i="11"/>
  <c r="ES25" i="11"/>
  <c r="FA25" i="11"/>
  <c r="AR26" i="11"/>
  <c r="AZ26" i="11"/>
  <c r="BH26" i="11"/>
  <c r="BP26" i="11"/>
  <c r="BX26" i="11"/>
  <c r="CF26" i="11"/>
  <c r="CN26" i="11"/>
  <c r="CV26" i="11"/>
  <c r="DD26" i="11"/>
  <c r="DL26" i="11"/>
  <c r="DT26" i="11"/>
  <c r="EB26" i="11"/>
  <c r="EJ26" i="11"/>
  <c r="ER26" i="11"/>
  <c r="EZ26" i="11"/>
  <c r="AQ27" i="11"/>
  <c r="AY27" i="11"/>
  <c r="BG27" i="11"/>
  <c r="BO27" i="11"/>
  <c r="BW27" i="11"/>
  <c r="CE27" i="11"/>
  <c r="CM27" i="11"/>
  <c r="CU27" i="11"/>
  <c r="DC27" i="11"/>
  <c r="DK27" i="11"/>
  <c r="DS27" i="11"/>
  <c r="EA27" i="11"/>
  <c r="EI27" i="11"/>
  <c r="EQ27" i="11"/>
  <c r="EY27" i="11"/>
  <c r="AP28" i="11"/>
  <c r="AX28" i="11"/>
  <c r="BF28" i="11"/>
  <c r="BN28" i="11"/>
  <c r="BV28" i="11"/>
  <c r="CD28" i="11"/>
  <c r="CL28" i="11"/>
  <c r="CT28" i="11"/>
  <c r="DB28" i="11"/>
  <c r="DJ28" i="11"/>
  <c r="DR28" i="11"/>
  <c r="DZ28" i="11"/>
  <c r="EH28" i="11"/>
  <c r="EP28" i="11"/>
  <c r="EX28" i="11"/>
  <c r="AO29" i="11"/>
  <c r="AW29" i="11"/>
  <c r="BE29" i="11"/>
  <c r="BM29" i="11"/>
  <c r="BU29" i="11"/>
  <c r="CC29" i="11"/>
  <c r="CK29" i="11"/>
  <c r="CS29" i="11"/>
  <c r="DA29" i="11"/>
  <c r="DI29" i="11"/>
  <c r="DQ29" i="11"/>
  <c r="DY29" i="11"/>
  <c r="EG29" i="11"/>
  <c r="EO29" i="11"/>
  <c r="EW29" i="11"/>
  <c r="AN30" i="11"/>
  <c r="AV30" i="11"/>
  <c r="BD30" i="11"/>
  <c r="BL30" i="11"/>
  <c r="BT30" i="11"/>
  <c r="CB30" i="11"/>
  <c r="CJ30" i="11"/>
  <c r="CR30" i="11"/>
  <c r="CZ30" i="11"/>
  <c r="DH30" i="11"/>
  <c r="DP30" i="11"/>
  <c r="DX30" i="11"/>
  <c r="EF30" i="11"/>
  <c r="EN30" i="11"/>
  <c r="EV30" i="11"/>
  <c r="AM31" i="11"/>
  <c r="AU31" i="11"/>
  <c r="BC31" i="11"/>
  <c r="BK31" i="11"/>
  <c r="BS31" i="11"/>
  <c r="CA31" i="11"/>
  <c r="CI31" i="11"/>
  <c r="CQ31" i="11"/>
  <c r="CY31" i="11"/>
  <c r="DG31" i="11"/>
  <c r="DO31" i="11"/>
  <c r="DW31" i="11"/>
  <c r="EE31" i="11"/>
  <c r="EM31" i="11"/>
  <c r="EU31" i="11"/>
  <c r="AL32" i="11"/>
  <c r="AT32" i="11"/>
  <c r="BB32" i="11"/>
  <c r="BJ32" i="11"/>
  <c r="BR32" i="11"/>
  <c r="BZ32" i="11"/>
  <c r="CH32" i="11"/>
  <c r="CP32" i="11"/>
  <c r="CX32" i="11"/>
  <c r="DF32" i="11"/>
  <c r="DN32" i="11"/>
  <c r="DV32" i="11"/>
  <c r="ED32" i="11"/>
  <c r="EL32" i="11"/>
  <c r="ET32" i="11"/>
  <c r="AK33" i="11"/>
  <c r="AS33" i="11"/>
  <c r="BA33" i="11"/>
  <c r="BI33" i="11"/>
  <c r="BQ33" i="11"/>
  <c r="BY33" i="11"/>
  <c r="CG33" i="11"/>
  <c r="CO33" i="11"/>
  <c r="CW33" i="11"/>
  <c r="DE33" i="11"/>
  <c r="DM33" i="11"/>
  <c r="DU33" i="11"/>
  <c r="EC33" i="11"/>
  <c r="EK33" i="11"/>
  <c r="ES33" i="11"/>
  <c r="FA33" i="11"/>
  <c r="AR34" i="11"/>
  <c r="AZ34" i="11"/>
  <c r="BH34" i="11"/>
  <c r="BP34" i="11"/>
  <c r="BX34" i="11"/>
  <c r="CF34" i="11"/>
  <c r="CN34" i="11"/>
  <c r="CV34" i="11"/>
  <c r="DD34" i="11"/>
  <c r="DL34" i="11"/>
  <c r="DT34" i="11"/>
  <c r="EB34" i="11"/>
  <c r="EJ34" i="11"/>
  <c r="ER34" i="11"/>
  <c r="EZ34" i="11"/>
  <c r="AQ35" i="11"/>
  <c r="AY35" i="11"/>
  <c r="BG35" i="11"/>
  <c r="BO35" i="11"/>
  <c r="BK4" i="11"/>
  <c r="DA4" i="11"/>
  <c r="EV4" i="11"/>
  <c r="CI5" i="11"/>
  <c r="DW5" i="11"/>
  <c r="AZ6" i="11"/>
  <c r="CJ6" i="11"/>
  <c r="ED6" i="11"/>
  <c r="BC7" i="11"/>
  <c r="CK7" i="11"/>
  <c r="DW7" i="11"/>
  <c r="EY7" i="11"/>
  <c r="BW8" i="11"/>
  <c r="DK8" i="11"/>
  <c r="EM8" i="11"/>
  <c r="BK9" i="11"/>
  <c r="CP9" i="11"/>
  <c r="DY9" i="11"/>
  <c r="AR10" i="11"/>
  <c r="BP10" i="11"/>
  <c r="CX10" i="11"/>
  <c r="DT10" i="11"/>
  <c r="EN10" i="11"/>
  <c r="AS11" i="11"/>
  <c r="BI11" i="11"/>
  <c r="CE11" i="11"/>
  <c r="CV11" i="11"/>
  <c r="DQ11" i="11"/>
  <c r="EL11" i="11"/>
  <c r="FA11" i="11"/>
  <c r="BB12" i="11"/>
  <c r="BO12" i="11"/>
  <c r="CE12" i="11"/>
  <c r="CU12" i="11"/>
  <c r="DH12" i="11"/>
  <c r="DX12" i="11"/>
  <c r="EJ12" i="11"/>
  <c r="EZ12" i="11"/>
  <c r="AY13" i="11"/>
  <c r="BL13" i="11"/>
  <c r="CB13" i="11"/>
  <c r="CN13" i="11"/>
  <c r="DD13" i="11"/>
  <c r="DT13" i="11"/>
  <c r="EG13" i="11"/>
  <c r="EW13" i="11"/>
  <c r="AR14" i="11"/>
  <c r="BH14" i="11"/>
  <c r="BX14" i="11"/>
  <c r="CK14" i="11"/>
  <c r="DA14" i="11"/>
  <c r="DN14" i="11"/>
  <c r="ED14" i="11"/>
  <c r="ET14" i="11"/>
  <c r="AO15" i="11"/>
  <c r="BE15" i="11"/>
  <c r="BR15" i="11"/>
  <c r="CH15" i="11"/>
  <c r="CX15" i="11"/>
  <c r="DJ15" i="11"/>
  <c r="DZ15" i="11"/>
  <c r="EM15" i="11"/>
  <c r="AL16" i="11"/>
  <c r="BB16" i="11"/>
  <c r="BN16" i="11"/>
  <c r="CD16" i="11"/>
  <c r="CQ16" i="11"/>
  <c r="DG16" i="11"/>
  <c r="DW16" i="11"/>
  <c r="EJ16" i="11"/>
  <c r="EZ16" i="11"/>
  <c r="AU17" i="11"/>
  <c r="BK17" i="11"/>
  <c r="CA17" i="11"/>
  <c r="CN17" i="11"/>
  <c r="DD17" i="11"/>
  <c r="DP17" i="11"/>
  <c r="EF17" i="11"/>
  <c r="EV17" i="11"/>
  <c r="AR18" i="11"/>
  <c r="BH18" i="11"/>
  <c r="BT18" i="11"/>
  <c r="CJ18" i="11"/>
  <c r="CZ18" i="11"/>
  <c r="DM18" i="11"/>
  <c r="EC18" i="11"/>
  <c r="EP18" i="11"/>
  <c r="AO19" i="11"/>
  <c r="BE19" i="11"/>
  <c r="BQ19" i="11"/>
  <c r="CG19" i="11"/>
  <c r="CT19" i="11"/>
  <c r="DH19" i="11"/>
  <c r="DV19" i="11"/>
  <c r="EG19" i="11"/>
  <c r="EU19" i="11"/>
  <c r="AO20" i="11"/>
  <c r="BC20" i="11"/>
  <c r="BQ20" i="11"/>
  <c r="CB20" i="11"/>
  <c r="CP20" i="11"/>
  <c r="DA20" i="11"/>
  <c r="DO20" i="11"/>
  <c r="EC20" i="11"/>
  <c r="EN20" i="11"/>
  <c r="AK21" i="11"/>
  <c r="AV21" i="11"/>
  <c r="BE21" i="11"/>
  <c r="BN21" i="11"/>
  <c r="BV21" i="11"/>
  <c r="CD21" i="11"/>
  <c r="CL21" i="11"/>
  <c r="CT21" i="11"/>
  <c r="DB21" i="11"/>
  <c r="DJ21" i="11"/>
  <c r="DR21" i="11"/>
  <c r="DZ21" i="11"/>
  <c r="EH21" i="11"/>
  <c r="EP21" i="11"/>
  <c r="EX21" i="11"/>
  <c r="AO22" i="11"/>
  <c r="AW22" i="11"/>
  <c r="BE22" i="11"/>
  <c r="BM22" i="11"/>
  <c r="BU22" i="11"/>
  <c r="CC22" i="11"/>
  <c r="CK22" i="11"/>
  <c r="CS22" i="11"/>
  <c r="DA22" i="11"/>
  <c r="DI22" i="11"/>
  <c r="DQ22" i="11"/>
  <c r="DY22" i="11"/>
  <c r="EG22" i="11"/>
  <c r="EO22" i="11"/>
  <c r="EW22" i="11"/>
  <c r="AN23" i="11"/>
  <c r="AV23" i="11"/>
  <c r="BD23" i="11"/>
  <c r="BL23" i="11"/>
  <c r="BT23" i="11"/>
  <c r="CB23" i="11"/>
  <c r="CJ23" i="11"/>
  <c r="CR23" i="11"/>
  <c r="CZ23" i="11"/>
  <c r="DH23" i="11"/>
  <c r="DP23" i="11"/>
  <c r="DX23" i="11"/>
  <c r="EF23" i="11"/>
  <c r="EN23" i="11"/>
  <c r="EV23" i="11"/>
  <c r="AM24" i="11"/>
  <c r="AU24" i="11"/>
  <c r="BC24" i="11"/>
  <c r="BK24" i="11"/>
  <c r="BS24" i="11"/>
  <c r="CA24" i="11"/>
  <c r="CI24" i="11"/>
  <c r="CQ24" i="11"/>
  <c r="CY24" i="11"/>
  <c r="DG24" i="11"/>
  <c r="DO24" i="11"/>
  <c r="DW24" i="11"/>
  <c r="EE24" i="11"/>
  <c r="EM24" i="11"/>
  <c r="EU24" i="11"/>
  <c r="AL25" i="11"/>
  <c r="AT25" i="11"/>
  <c r="BB25" i="11"/>
  <c r="BJ25" i="11"/>
  <c r="BR25" i="11"/>
  <c r="BZ25" i="11"/>
  <c r="CH25" i="11"/>
  <c r="CP25" i="11"/>
  <c r="CX25" i="11"/>
  <c r="DF25" i="11"/>
  <c r="DN25" i="11"/>
  <c r="DV25" i="11"/>
  <c r="ED25" i="11"/>
  <c r="EL25" i="11"/>
  <c r="ET25" i="11"/>
  <c r="AK26" i="11"/>
  <c r="AS26" i="11"/>
  <c r="BA26" i="11"/>
  <c r="BI26" i="11"/>
  <c r="BQ26" i="11"/>
  <c r="BY26" i="11"/>
  <c r="CG26" i="11"/>
  <c r="CO26" i="11"/>
  <c r="CW26" i="11"/>
  <c r="DE26" i="11"/>
  <c r="DM26" i="11"/>
  <c r="DU26" i="11"/>
  <c r="EC26" i="11"/>
  <c r="EK26" i="11"/>
  <c r="ES26" i="11"/>
  <c r="FA26" i="11"/>
  <c r="AR27" i="11"/>
  <c r="AZ27" i="11"/>
  <c r="BH27" i="11"/>
  <c r="BP27" i="11"/>
  <c r="BX27" i="11"/>
  <c r="CF27" i="11"/>
  <c r="CN27" i="11"/>
  <c r="CV27" i="11"/>
  <c r="DD27" i="11"/>
  <c r="DL27" i="11"/>
  <c r="DT27" i="11"/>
  <c r="EB27" i="11"/>
  <c r="EJ27" i="11"/>
  <c r="ER27" i="11"/>
  <c r="EZ27" i="11"/>
  <c r="AQ28" i="11"/>
  <c r="AY28" i="11"/>
  <c r="BG28" i="11"/>
  <c r="BO28" i="11"/>
  <c r="BW28" i="11"/>
  <c r="CE28" i="11"/>
  <c r="CM28" i="11"/>
  <c r="CU28" i="11"/>
  <c r="DC28" i="11"/>
  <c r="DK28" i="11"/>
  <c r="DS28" i="11"/>
  <c r="EA28" i="11"/>
  <c r="EI28" i="11"/>
  <c r="EQ28" i="11"/>
  <c r="EY28" i="11"/>
  <c r="AP29" i="11"/>
  <c r="AX29" i="11"/>
  <c r="BF29" i="11"/>
  <c r="BN29" i="11"/>
  <c r="BV29" i="11"/>
  <c r="CD29" i="11"/>
  <c r="CL29" i="11"/>
  <c r="CT29" i="11"/>
  <c r="DB29" i="11"/>
  <c r="DJ29" i="11"/>
  <c r="DR29" i="11"/>
  <c r="DZ29" i="11"/>
  <c r="EH29" i="11"/>
  <c r="EP29" i="11"/>
  <c r="EX29" i="11"/>
  <c r="AO30" i="11"/>
  <c r="AW30" i="11"/>
  <c r="BE30" i="11"/>
  <c r="BM30" i="11"/>
  <c r="BU30" i="11"/>
  <c r="CC30" i="11"/>
  <c r="CK30" i="11"/>
  <c r="CS30" i="11"/>
  <c r="DA30" i="11"/>
  <c r="DI30" i="11"/>
  <c r="DQ30" i="11"/>
  <c r="DY30" i="11"/>
  <c r="EG30" i="11"/>
  <c r="EO30" i="11"/>
  <c r="EW30" i="11"/>
  <c r="AN31" i="11"/>
  <c r="AV31" i="11"/>
  <c r="BD31" i="11"/>
  <c r="BL31" i="11"/>
  <c r="BT31" i="11"/>
  <c r="CB31" i="11"/>
  <c r="CJ31" i="11"/>
  <c r="CR31" i="11"/>
  <c r="CZ31" i="11"/>
  <c r="DH31" i="11"/>
  <c r="DP31" i="11"/>
  <c r="DX31" i="11"/>
  <c r="EF31" i="11"/>
  <c r="EN31" i="11"/>
  <c r="EV31" i="11"/>
  <c r="AM32" i="11"/>
  <c r="AU32" i="11"/>
  <c r="BC32" i="11"/>
  <c r="BK32" i="11"/>
  <c r="BS32" i="11"/>
  <c r="CA32" i="11"/>
  <c r="CI32" i="11"/>
  <c r="CQ32" i="11"/>
  <c r="CY32" i="11"/>
  <c r="DG32" i="11"/>
  <c r="DO32" i="11"/>
  <c r="DW32" i="11"/>
  <c r="EE32" i="11"/>
  <c r="EM32" i="11"/>
  <c r="EU32" i="11"/>
  <c r="AL33" i="11"/>
  <c r="AT33" i="11"/>
  <c r="BB33" i="11"/>
  <c r="BJ33" i="11"/>
  <c r="BR33" i="11"/>
  <c r="BZ33" i="11"/>
  <c r="CH33" i="11"/>
  <c r="CP33" i="11"/>
  <c r="CX33" i="11"/>
  <c r="DF33" i="11"/>
  <c r="DN33" i="11"/>
  <c r="DV33" i="11"/>
  <c r="ED33" i="11"/>
  <c r="EL33" i="11"/>
  <c r="ET33" i="11"/>
  <c r="AK34" i="11"/>
  <c r="AS34" i="11"/>
  <c r="BA34" i="11"/>
  <c r="BI34" i="11"/>
  <c r="BQ34" i="11"/>
  <c r="BY34" i="11"/>
  <c r="CG34" i="11"/>
  <c r="CO34" i="11"/>
  <c r="CW34" i="11"/>
  <c r="DE34" i="11"/>
  <c r="DM34" i="11"/>
  <c r="DU34" i="11"/>
  <c r="EC34" i="11"/>
  <c r="EK34" i="11"/>
  <c r="ES34" i="11"/>
  <c r="FA34" i="11"/>
  <c r="AR35" i="11"/>
  <c r="AZ35" i="11"/>
  <c r="BH35" i="11"/>
  <c r="BP35" i="11"/>
  <c r="BX35" i="11"/>
  <c r="CF35" i="11"/>
  <c r="CN35" i="11"/>
  <c r="CV35" i="11"/>
  <c r="DD35" i="11"/>
  <c r="DL35" i="11"/>
  <c r="DT35" i="11"/>
  <c r="EB35" i="11"/>
  <c r="EJ35" i="11"/>
  <c r="ER35" i="11"/>
  <c r="EZ35" i="11"/>
  <c r="AQ36" i="11"/>
  <c r="AY36" i="11"/>
  <c r="BG36" i="11"/>
  <c r="BO36" i="11"/>
  <c r="BW36" i="11"/>
  <c r="CE36" i="11"/>
  <c r="CM36" i="11"/>
  <c r="CU36" i="11"/>
  <c r="DC36" i="11"/>
  <c r="BL4" i="11"/>
  <c r="DP4" i="11"/>
  <c r="AO5" i="11"/>
  <c r="CQ5" i="11"/>
  <c r="ED5" i="11"/>
  <c r="BC6" i="11"/>
  <c r="CW6" i="11"/>
  <c r="EG6" i="11"/>
  <c r="BD7" i="11"/>
  <c r="CM7" i="11"/>
  <c r="DX7" i="11"/>
  <c r="AS8" i="11"/>
  <c r="CA8" i="11"/>
  <c r="DM8" i="11"/>
  <c r="ER8" i="11"/>
  <c r="BO9" i="11"/>
  <c r="DA9" i="11"/>
  <c r="EC9" i="11"/>
  <c r="AU10" i="11"/>
  <c r="BS10" i="11"/>
  <c r="CY10" i="11"/>
  <c r="DX10" i="11"/>
  <c r="EP10" i="11"/>
  <c r="AT11" i="11"/>
  <c r="BJ11" i="11"/>
  <c r="CF11" i="11"/>
  <c r="DA11" i="11"/>
  <c r="DS11" i="11"/>
  <c r="EM11" i="11"/>
  <c r="AL12" i="11"/>
  <c r="BD12" i="11"/>
  <c r="BT12" i="11"/>
  <c r="CF12" i="11"/>
  <c r="CV12" i="11"/>
  <c r="DI12" i="11"/>
  <c r="DY12" i="11"/>
  <c r="EO12" i="11"/>
  <c r="FA12" i="11"/>
  <c r="AZ13" i="11"/>
  <c r="BM13" i="11"/>
  <c r="CC13" i="11"/>
  <c r="CS13" i="11"/>
  <c r="DE13" i="11"/>
  <c r="DU13" i="11"/>
  <c r="EH13" i="11"/>
  <c r="EX13" i="11"/>
  <c r="AW14" i="11"/>
  <c r="BJ14" i="11"/>
  <c r="BZ14" i="11"/>
  <c r="CL14" i="11"/>
  <c r="DB14" i="11"/>
  <c r="DR14" i="11"/>
  <c r="EE14" i="11"/>
  <c r="EU14" i="11"/>
  <c r="AP15" i="11"/>
  <c r="BF15" i="11"/>
  <c r="BV15" i="11"/>
  <c r="CI15" i="11"/>
  <c r="CY15" i="11"/>
  <c r="DK15" i="11"/>
  <c r="EA15" i="11"/>
  <c r="EQ15" i="11"/>
  <c r="AM16" i="11"/>
  <c r="BC16" i="11"/>
  <c r="BP16" i="11"/>
  <c r="CF16" i="11"/>
  <c r="CV16" i="11"/>
  <c r="DH16" i="11"/>
  <c r="DX16" i="11"/>
  <c r="EK16" i="11"/>
  <c r="FA16" i="11"/>
  <c r="AZ17" i="11"/>
  <c r="BL17" i="11"/>
  <c r="CB17" i="11"/>
  <c r="CO17" i="11"/>
  <c r="DE17" i="11"/>
  <c r="DU17" i="11"/>
  <c r="EG17" i="11"/>
  <c r="EW17" i="11"/>
  <c r="AS18" i="11"/>
  <c r="BI18" i="11"/>
  <c r="BY18" i="11"/>
  <c r="CL18" i="11"/>
  <c r="DB18" i="11"/>
  <c r="DN18" i="11"/>
  <c r="ED18" i="11"/>
  <c r="ET18" i="11"/>
  <c r="AP19" i="11"/>
  <c r="BF19" i="11"/>
  <c r="BR19" i="11"/>
  <c r="CH19" i="11"/>
  <c r="CX19" i="11"/>
  <c r="DI19" i="11"/>
  <c r="DW19" i="11"/>
  <c r="EH19" i="11"/>
  <c r="EV19" i="11"/>
  <c r="AS20" i="11"/>
  <c r="BD20" i="11"/>
  <c r="BR20" i="11"/>
  <c r="CC20" i="11"/>
  <c r="CQ20" i="11"/>
  <c r="DE20" i="11"/>
  <c r="DP20" i="11"/>
  <c r="ED20" i="11"/>
  <c r="EO20" i="11"/>
  <c r="AL21" i="11"/>
  <c r="AW21" i="11"/>
  <c r="BG21" i="11"/>
  <c r="BO21" i="11"/>
  <c r="BW21" i="11"/>
  <c r="CE21" i="11"/>
  <c r="CM21" i="11"/>
  <c r="CU21" i="11"/>
  <c r="DC21" i="11"/>
  <c r="DK21" i="11"/>
  <c r="DS21" i="11"/>
  <c r="EA21" i="11"/>
  <c r="EI21" i="11"/>
  <c r="EQ21" i="11"/>
  <c r="EY21" i="11"/>
  <c r="AP22" i="11"/>
  <c r="AX22" i="11"/>
  <c r="BF22" i="11"/>
  <c r="BN22" i="11"/>
  <c r="BV22" i="11"/>
  <c r="CD22" i="11"/>
  <c r="CL22" i="11"/>
  <c r="CT22" i="11"/>
  <c r="DB22" i="11"/>
  <c r="DJ22" i="11"/>
  <c r="DR22" i="11"/>
  <c r="DZ22" i="11"/>
  <c r="EH22" i="11"/>
  <c r="EP22" i="11"/>
  <c r="EX22" i="11"/>
  <c r="AO23" i="11"/>
  <c r="AW23" i="11"/>
  <c r="BE23" i="11"/>
  <c r="BM23" i="11"/>
  <c r="BU23" i="11"/>
  <c r="CC23" i="11"/>
  <c r="CK23" i="11"/>
  <c r="CS23" i="11"/>
  <c r="DA23" i="11"/>
  <c r="DI23" i="11"/>
  <c r="DQ23" i="11"/>
  <c r="DY23" i="11"/>
  <c r="EG23" i="11"/>
  <c r="EO23" i="11"/>
  <c r="EW23" i="11"/>
  <c r="AN24" i="11"/>
  <c r="AV24" i="11"/>
  <c r="BD24" i="11"/>
  <c r="BL24" i="11"/>
  <c r="BT24" i="11"/>
  <c r="CB24" i="11"/>
  <c r="CJ24" i="11"/>
  <c r="CR24" i="11"/>
  <c r="CZ24" i="11"/>
  <c r="DH24" i="11"/>
  <c r="DP24" i="11"/>
  <c r="DX24" i="11"/>
  <c r="EF24" i="11"/>
  <c r="EN24" i="11"/>
  <c r="EV24" i="11"/>
  <c r="AM25" i="11"/>
  <c r="AU25" i="11"/>
  <c r="BC25" i="11"/>
  <c r="BK25" i="11"/>
  <c r="BS25" i="11"/>
  <c r="CA25" i="11"/>
  <c r="CI25" i="11"/>
  <c r="CQ25" i="11"/>
  <c r="CY25" i="11"/>
  <c r="DG25" i="11"/>
  <c r="DO25" i="11"/>
  <c r="DW25" i="11"/>
  <c r="BV4" i="11"/>
  <c r="EA4" i="11"/>
  <c r="CS5" i="11"/>
  <c r="AL6" i="11"/>
  <c r="DH6" i="11"/>
  <c r="BL7" i="11"/>
  <c r="DG7" i="11"/>
  <c r="BA8" i="11"/>
  <c r="CW8" i="11"/>
  <c r="AQ9" i="11"/>
  <c r="DB9" i="11"/>
  <c r="ER9" i="11"/>
  <c r="CD10" i="11"/>
  <c r="DO10" i="11"/>
  <c r="EZ10" i="11"/>
  <c r="BQ11" i="11"/>
  <c r="CP11" i="11"/>
  <c r="EA11" i="11"/>
  <c r="EY11" i="11"/>
  <c r="BJ12" i="11"/>
  <c r="CG12" i="11"/>
  <c r="DD12" i="11"/>
  <c r="EA12" i="11"/>
  <c r="EX12" i="11"/>
  <c r="BD13" i="11"/>
  <c r="CD13" i="11"/>
  <c r="CW13" i="11"/>
  <c r="DX13" i="11"/>
  <c r="EQ13" i="11"/>
  <c r="AZ14" i="11"/>
  <c r="CA14" i="11"/>
  <c r="CT14" i="11"/>
  <c r="DT14" i="11"/>
  <c r="EN14" i="11"/>
  <c r="AW15" i="11"/>
  <c r="BW15" i="11"/>
  <c r="CQ15" i="11"/>
  <c r="DQ15" i="11"/>
  <c r="EK15" i="11"/>
  <c r="AT16" i="11"/>
  <c r="BT16" i="11"/>
  <c r="CN16" i="11"/>
  <c r="DN16" i="11"/>
  <c r="EG16" i="11"/>
  <c r="AQ17" i="11"/>
  <c r="BM17" i="11"/>
  <c r="CJ17" i="11"/>
  <c r="DG17" i="11"/>
  <c r="ED17" i="11"/>
  <c r="FA17" i="11"/>
  <c r="BJ18" i="11"/>
  <c r="CD18" i="11"/>
  <c r="DD18" i="11"/>
  <c r="DW18" i="11"/>
  <c r="EX18" i="11"/>
  <c r="BG19" i="11"/>
  <c r="BZ19" i="11"/>
  <c r="CZ19" i="11"/>
  <c r="DQ19" i="11"/>
  <c r="EN19" i="11"/>
  <c r="AT20" i="11"/>
  <c r="BK20" i="11"/>
  <c r="CH20" i="11"/>
  <c r="CY20" i="11"/>
  <c r="DV20" i="11"/>
  <c r="ES20" i="11"/>
  <c r="AS21" i="11"/>
  <c r="BI21" i="11"/>
  <c r="BT21" i="11"/>
  <c r="CH21" i="11"/>
  <c r="CV21" i="11"/>
  <c r="DG21" i="11"/>
  <c r="DU21" i="11"/>
  <c r="EF21" i="11"/>
  <c r="ET21" i="11"/>
  <c r="AQ22" i="11"/>
  <c r="BB22" i="11"/>
  <c r="BP22" i="11"/>
  <c r="CA22" i="11"/>
  <c r="CO22" i="11"/>
  <c r="DC22" i="11"/>
  <c r="DN22" i="11"/>
  <c r="EB22" i="11"/>
  <c r="EM22" i="11"/>
  <c r="FA22" i="11"/>
  <c r="AX23" i="11"/>
  <c r="BI23" i="11"/>
  <c r="BW23" i="11"/>
  <c r="CH23" i="11"/>
  <c r="CV23" i="11"/>
  <c r="DJ23" i="11"/>
  <c r="DU23" i="11"/>
  <c r="EI23" i="11"/>
  <c r="ET23" i="11"/>
  <c r="AQ24" i="11"/>
  <c r="BE24" i="11"/>
  <c r="BP24" i="11"/>
  <c r="CD24" i="11"/>
  <c r="CO24" i="11"/>
  <c r="DC24" i="11"/>
  <c r="DQ24" i="11"/>
  <c r="EB24" i="11"/>
  <c r="EP24" i="11"/>
  <c r="FA24" i="11"/>
  <c r="AX25" i="11"/>
  <c r="BL25" i="11"/>
  <c r="BW25" i="11"/>
  <c r="CK25" i="11"/>
  <c r="CV25" i="11"/>
  <c r="DJ25" i="11"/>
  <c r="DX25" i="11"/>
  <c r="EH25" i="11"/>
  <c r="ER25" i="11"/>
  <c r="AM26" i="11"/>
  <c r="AW26" i="11"/>
  <c r="BG26" i="11"/>
  <c r="BS26" i="11"/>
  <c r="CC26" i="11"/>
  <c r="CM26" i="11"/>
  <c r="CY26" i="11"/>
  <c r="DI26" i="11"/>
  <c r="DS26" i="11"/>
  <c r="EE26" i="11"/>
  <c r="EO26" i="11"/>
  <c r="EY26" i="11"/>
  <c r="AT27" i="11"/>
  <c r="BD27" i="11"/>
  <c r="BN27" i="11"/>
  <c r="BZ27" i="11"/>
  <c r="CJ27" i="11"/>
  <c r="CT27" i="11"/>
  <c r="DF27" i="11"/>
  <c r="DP27" i="11"/>
  <c r="DZ27" i="11"/>
  <c r="EL27" i="11"/>
  <c r="EV27" i="11"/>
  <c r="AO28" i="11"/>
  <c r="BA28" i="11"/>
  <c r="BK28" i="11"/>
  <c r="BU28" i="11"/>
  <c r="CG28" i="11"/>
  <c r="CQ28" i="11"/>
  <c r="DA28" i="11"/>
  <c r="DM28" i="11"/>
  <c r="DW28" i="11"/>
  <c r="EG28" i="11"/>
  <c r="ES28" i="11"/>
  <c r="AL29" i="11"/>
  <c r="AV29" i="11"/>
  <c r="BH29" i="11"/>
  <c r="BR29" i="11"/>
  <c r="CB29" i="11"/>
  <c r="CN29" i="11"/>
  <c r="CX29" i="11"/>
  <c r="DH29" i="11"/>
  <c r="DT29" i="11"/>
  <c r="ED29" i="11"/>
  <c r="EN29" i="11"/>
  <c r="EZ29" i="11"/>
  <c r="AS30" i="11"/>
  <c r="BC30" i="11"/>
  <c r="BO30" i="11"/>
  <c r="BY30" i="11"/>
  <c r="CI30" i="11"/>
  <c r="CU30" i="11"/>
  <c r="DE30" i="11"/>
  <c r="DO30" i="11"/>
  <c r="EA30" i="11"/>
  <c r="EK30" i="11"/>
  <c r="EU30" i="11"/>
  <c r="AP31" i="11"/>
  <c r="AZ31" i="11"/>
  <c r="BJ31" i="11"/>
  <c r="BV31" i="11"/>
  <c r="CF31" i="11"/>
  <c r="CP31" i="11"/>
  <c r="DB31" i="11"/>
  <c r="DL31" i="11"/>
  <c r="DV31" i="11"/>
  <c r="EH31" i="11"/>
  <c r="ER31" i="11"/>
  <c r="AK32" i="11"/>
  <c r="AW32" i="11"/>
  <c r="BG32" i="11"/>
  <c r="BQ32" i="11"/>
  <c r="CC32" i="11"/>
  <c r="CM32" i="11"/>
  <c r="CW32" i="11"/>
  <c r="DI32" i="11"/>
  <c r="DS32" i="11"/>
  <c r="EC32" i="11"/>
  <c r="EO32" i="11"/>
  <c r="EY32" i="11"/>
  <c r="AR33" i="11"/>
  <c r="BD33" i="11"/>
  <c r="BN33" i="11"/>
  <c r="BX33" i="11"/>
  <c r="CJ33" i="11"/>
  <c r="CT33" i="11"/>
  <c r="DD33" i="11"/>
  <c r="DP33" i="11"/>
  <c r="DZ33" i="11"/>
  <c r="EJ33" i="11"/>
  <c r="EV33" i="11"/>
  <c r="AO34" i="11"/>
  <c r="AY34" i="11"/>
  <c r="BK34" i="11"/>
  <c r="BU34" i="11"/>
  <c r="CE34" i="11"/>
  <c r="CQ34" i="11"/>
  <c r="DA34" i="11"/>
  <c r="DK34" i="11"/>
  <c r="DW34" i="11"/>
  <c r="EG34" i="11"/>
  <c r="EQ34" i="11"/>
  <c r="AL35" i="11"/>
  <c r="AV35" i="11"/>
  <c r="BF35" i="11"/>
  <c r="BR35" i="11"/>
  <c r="CA35" i="11"/>
  <c r="CJ35" i="11"/>
  <c r="CS35" i="11"/>
  <c r="DB35" i="11"/>
  <c r="DK35" i="11"/>
  <c r="DU35" i="11"/>
  <c r="ED35" i="11"/>
  <c r="EM35" i="11"/>
  <c r="EV35" i="11"/>
  <c r="AN36" i="11"/>
  <c r="AW36" i="11"/>
  <c r="BF36" i="11"/>
  <c r="BP36" i="11"/>
  <c r="BY36" i="11"/>
  <c r="CH36" i="11"/>
  <c r="CQ36" i="11"/>
  <c r="CZ36" i="11"/>
  <c r="DI36" i="11"/>
  <c r="DQ36" i="11"/>
  <c r="DY36" i="11"/>
  <c r="EG36" i="11"/>
  <c r="EO36" i="11"/>
  <c r="EW36" i="11"/>
  <c r="AN37" i="11"/>
  <c r="AV37" i="11"/>
  <c r="BD37" i="11"/>
  <c r="BL37" i="11"/>
  <c r="BT37" i="11"/>
  <c r="CB37" i="11"/>
  <c r="CJ37" i="11"/>
  <c r="CR37" i="11"/>
  <c r="CZ37" i="11"/>
  <c r="DH37" i="11"/>
  <c r="DP37" i="11"/>
  <c r="DX37" i="11"/>
  <c r="EF37" i="11"/>
  <c r="EN37" i="11"/>
  <c r="EV37" i="11"/>
  <c r="DF30" i="11"/>
  <c r="DR30" i="11"/>
  <c r="EB30" i="11"/>
  <c r="EL30" i="11"/>
  <c r="EX30" i="11"/>
  <c r="AQ31" i="11"/>
  <c r="BA31" i="11"/>
  <c r="BM31" i="11"/>
  <c r="BW31" i="11"/>
  <c r="CG31" i="11"/>
  <c r="CS31" i="11"/>
  <c r="DC31" i="11"/>
  <c r="DM31" i="11"/>
  <c r="DY31" i="11"/>
  <c r="EI31" i="11"/>
  <c r="ES31" i="11"/>
  <c r="AN32" i="11"/>
  <c r="AX32" i="11"/>
  <c r="BH32" i="11"/>
  <c r="BT32" i="11"/>
  <c r="CD32" i="11"/>
  <c r="CN32" i="11"/>
  <c r="CZ32" i="11"/>
  <c r="DJ32" i="11"/>
  <c r="DT32" i="11"/>
  <c r="EF32" i="11"/>
  <c r="EP32" i="11"/>
  <c r="EZ32" i="11"/>
  <c r="AU33" i="11"/>
  <c r="BE33" i="11"/>
  <c r="BO33" i="11"/>
  <c r="CA33" i="11"/>
  <c r="CK33" i="11"/>
  <c r="CU33" i="11"/>
  <c r="DG33" i="11"/>
  <c r="DQ33" i="11"/>
  <c r="EA33" i="11"/>
  <c r="EM33" i="11"/>
  <c r="EW33" i="11"/>
  <c r="AP34" i="11"/>
  <c r="BB34" i="11"/>
  <c r="BL34" i="11"/>
  <c r="BV34" i="11"/>
  <c r="CH34" i="11"/>
  <c r="CR34" i="11"/>
  <c r="DB34" i="11"/>
  <c r="DN34" i="11"/>
  <c r="DX34" i="11"/>
  <c r="EH34" i="11"/>
  <c r="ET34" i="11"/>
  <c r="AM35" i="11"/>
  <c r="AW35" i="11"/>
  <c r="BI35" i="11"/>
  <c r="BS35" i="11"/>
  <c r="CB35" i="11"/>
  <c r="CK35" i="11"/>
  <c r="CT35" i="11"/>
  <c r="DC35" i="11"/>
  <c r="DM35" i="11"/>
  <c r="DV35" i="11"/>
  <c r="EE35" i="11"/>
  <c r="EN35" i="11"/>
  <c r="EW35" i="11"/>
  <c r="AO36" i="11"/>
  <c r="AX36" i="11"/>
  <c r="BH36" i="11"/>
  <c r="BQ36" i="11"/>
  <c r="BZ36" i="11"/>
  <c r="CI36" i="11"/>
  <c r="CR36" i="11"/>
  <c r="DA36" i="11"/>
  <c r="DJ36" i="11"/>
  <c r="DR36" i="11"/>
  <c r="DZ36" i="11"/>
  <c r="EH36" i="11"/>
  <c r="EP36" i="11"/>
  <c r="EX36" i="11"/>
  <c r="AO37" i="11"/>
  <c r="AW37" i="11"/>
  <c r="BE37" i="11"/>
  <c r="BM37" i="11"/>
  <c r="CC37" i="11"/>
  <c r="CK37" i="11"/>
  <c r="CS37" i="11"/>
  <c r="BW4" i="11"/>
  <c r="ER4" i="11"/>
  <c r="CX5" i="11"/>
  <c r="BD6" i="11"/>
  <c r="DI6" i="11"/>
  <c r="BM7" i="11"/>
  <c r="DH7" i="11"/>
  <c r="BB8" i="11"/>
  <c r="DN8" i="11"/>
  <c r="AR9" i="11"/>
  <c r="DC9" i="11"/>
  <c r="ES9" i="11"/>
  <c r="CJ10" i="11"/>
  <c r="DZ10" i="11"/>
  <c r="FA10" i="11"/>
  <c r="BR11" i="11"/>
  <c r="CS11" i="11"/>
  <c r="EB11" i="11"/>
  <c r="AQ12" i="11"/>
  <c r="BL12" i="11"/>
  <c r="CL12" i="11"/>
  <c r="DE12" i="11"/>
  <c r="EF12" i="11"/>
  <c r="AK13" i="11"/>
  <c r="BH13" i="11"/>
  <c r="CE13" i="11"/>
  <c r="DB13" i="11"/>
  <c r="DY13" i="11"/>
  <c r="EY13" i="11"/>
  <c r="BB14" i="11"/>
  <c r="CB14" i="11"/>
  <c r="CU14" i="11"/>
  <c r="DV14" i="11"/>
  <c r="EV14" i="11"/>
  <c r="AX15" i="11"/>
  <c r="BY15" i="11"/>
  <c r="CR15" i="11"/>
  <c r="DR15" i="11"/>
  <c r="ES15" i="11"/>
  <c r="AU16" i="11"/>
  <c r="BU16" i="11"/>
  <c r="CO16" i="11"/>
  <c r="DO16" i="11"/>
  <c r="EO16" i="11"/>
  <c r="AR17" i="11"/>
  <c r="BR17" i="11"/>
  <c r="CK17" i="11"/>
  <c r="DL17" i="11"/>
  <c r="EI17" i="11"/>
  <c r="AN18" i="11"/>
  <c r="BK18" i="11"/>
  <c r="CH18" i="11"/>
  <c r="DE18" i="11"/>
  <c r="EE18" i="11"/>
  <c r="EY18" i="11"/>
  <c r="BH19" i="11"/>
  <c r="CA19" i="11"/>
  <c r="DA19" i="11"/>
  <c r="DX19" i="11"/>
  <c r="EO19" i="11"/>
  <c r="AU20" i="11"/>
  <c r="BL20" i="11"/>
  <c r="CI20" i="11"/>
  <c r="DF20" i="11"/>
  <c r="DW20" i="11"/>
  <c r="ET20" i="11"/>
  <c r="AT21" i="11"/>
  <c r="BJ21" i="11"/>
  <c r="BX21" i="11"/>
  <c r="CI21" i="11"/>
  <c r="CW21" i="11"/>
  <c r="DH21" i="11"/>
  <c r="DV21" i="11"/>
  <c r="EJ21" i="11"/>
  <c r="EU21" i="11"/>
  <c r="AR22" i="11"/>
  <c r="BC22" i="11"/>
  <c r="BQ22" i="11"/>
  <c r="CE22" i="11"/>
  <c r="CP22" i="11"/>
  <c r="DD22" i="11"/>
  <c r="DO22" i="11"/>
  <c r="EC22" i="11"/>
  <c r="EQ22" i="11"/>
  <c r="AK23" i="11"/>
  <c r="AY23" i="11"/>
  <c r="BJ23" i="11"/>
  <c r="BX23" i="11"/>
  <c r="CL23" i="11"/>
  <c r="CW23" i="11"/>
  <c r="DK23" i="11"/>
  <c r="DV23" i="11"/>
  <c r="EJ23" i="11"/>
  <c r="EX23" i="11"/>
  <c r="AR24" i="11"/>
  <c r="BF24" i="11"/>
  <c r="BQ24" i="11"/>
  <c r="CE24" i="11"/>
  <c r="CS24" i="11"/>
  <c r="DD24" i="11"/>
  <c r="DR24" i="11"/>
  <c r="EC24" i="11"/>
  <c r="EQ24" i="11"/>
  <c r="AN25" i="11"/>
  <c r="AY25" i="11"/>
  <c r="BM25" i="11"/>
  <c r="BX25" i="11"/>
  <c r="CL25" i="11"/>
  <c r="CZ25" i="11"/>
  <c r="DK25" i="11"/>
  <c r="DY25" i="11"/>
  <c r="EI25" i="11"/>
  <c r="EU25" i="11"/>
  <c r="AN26" i="11"/>
  <c r="AX26" i="11"/>
  <c r="BJ26" i="11"/>
  <c r="BT26" i="11"/>
  <c r="CD26" i="11"/>
  <c r="CP26" i="11"/>
  <c r="CZ26" i="11"/>
  <c r="DJ26" i="11"/>
  <c r="DV26" i="11"/>
  <c r="EF26" i="11"/>
  <c r="EP26" i="11"/>
  <c r="AK27" i="11"/>
  <c r="AU27" i="11"/>
  <c r="BE27" i="11"/>
  <c r="BQ27" i="11"/>
  <c r="CA27" i="11"/>
  <c r="CK27" i="11"/>
  <c r="CW27" i="11"/>
  <c r="DG27" i="11"/>
  <c r="DQ27" i="11"/>
  <c r="EC27" i="11"/>
  <c r="EM27" i="11"/>
  <c r="EW27" i="11"/>
  <c r="AR28" i="11"/>
  <c r="BB28" i="11"/>
  <c r="BL28" i="11"/>
  <c r="BX28" i="11"/>
  <c r="CH28" i="11"/>
  <c r="CR28" i="11"/>
  <c r="DD28" i="11"/>
  <c r="DN28" i="11"/>
  <c r="DX28" i="11"/>
  <c r="EJ28" i="11"/>
  <c r="ET28" i="11"/>
  <c r="AM29" i="11"/>
  <c r="AY29" i="11"/>
  <c r="BI29" i="11"/>
  <c r="BS29" i="11"/>
  <c r="CE29" i="11"/>
  <c r="CO29" i="11"/>
  <c r="CY29" i="11"/>
  <c r="DK29" i="11"/>
  <c r="DU29" i="11"/>
  <c r="EE29" i="11"/>
  <c r="EQ29" i="11"/>
  <c r="FA29" i="11"/>
  <c r="AT30" i="11"/>
  <c r="BF30" i="11"/>
  <c r="BP30" i="11"/>
  <c r="BZ30" i="11"/>
  <c r="CL30" i="11"/>
  <c r="CV30" i="11"/>
  <c r="CJ4" i="11"/>
  <c r="AP5" i="11"/>
  <c r="DK5" i="11"/>
  <c r="BI6" i="11"/>
  <c r="DX6" i="11"/>
  <c r="BO7" i="11"/>
  <c r="DY7" i="11"/>
  <c r="BD8" i="11"/>
  <c r="DU8" i="11"/>
  <c r="AS9" i="11"/>
  <c r="DJ9" i="11"/>
  <c r="AV10" i="11"/>
  <c r="CK10" i="11"/>
  <c r="EC10" i="11"/>
  <c r="AK11" i="11"/>
  <c r="BS11" i="11"/>
  <c r="DD11" i="11"/>
  <c r="EC11" i="11"/>
  <c r="AR12" i="11"/>
  <c r="BM12" i="11"/>
  <c r="CM12" i="11"/>
  <c r="DM12" i="11"/>
  <c r="EG12" i="11"/>
  <c r="AP13" i="11"/>
  <c r="BI13" i="11"/>
  <c r="CJ13" i="11"/>
  <c r="DG13" i="11"/>
  <c r="EC13" i="11"/>
  <c r="EZ13" i="11"/>
  <c r="BF14" i="11"/>
  <c r="CC14" i="11"/>
  <c r="DC14" i="11"/>
  <c r="DW14" i="11"/>
  <c r="EW14" i="11"/>
  <c r="AY15" i="11"/>
  <c r="BZ15" i="11"/>
  <c r="CZ15" i="11"/>
  <c r="DS15" i="11"/>
  <c r="ET15" i="11"/>
  <c r="AV16" i="11"/>
  <c r="BV16" i="11"/>
  <c r="CW16" i="11"/>
  <c r="DP16" i="11"/>
  <c r="EP16" i="11"/>
  <c r="AS17" i="11"/>
  <c r="BS17" i="11"/>
  <c r="CS17" i="11"/>
  <c r="DM17" i="11"/>
  <c r="EM17" i="11"/>
  <c r="AP18" i="11"/>
  <c r="BP18" i="11"/>
  <c r="CM18" i="11"/>
  <c r="DJ18" i="11"/>
  <c r="EF18" i="11"/>
  <c r="AL19" i="11"/>
  <c r="BI19" i="11"/>
  <c r="CI19" i="11"/>
  <c r="DB19" i="11"/>
  <c r="DY19" i="11"/>
  <c r="EP19" i="11"/>
  <c r="AV20" i="11"/>
  <c r="BS20" i="11"/>
  <c r="CJ20" i="11"/>
  <c r="DG20" i="11"/>
  <c r="DX20" i="11"/>
  <c r="EU20" i="11"/>
  <c r="AY21" i="11"/>
  <c r="BK21" i="11"/>
  <c r="BY21" i="11"/>
  <c r="CJ21" i="11"/>
  <c r="CX21" i="11"/>
  <c r="DL21" i="11"/>
  <c r="DW21" i="11"/>
  <c r="EK21" i="11"/>
  <c r="EV21" i="11"/>
  <c r="AS22" i="11"/>
  <c r="BG22" i="11"/>
  <c r="BR22" i="11"/>
  <c r="CF22" i="11"/>
  <c r="CQ22" i="11"/>
  <c r="DE22" i="11"/>
  <c r="DS22" i="11"/>
  <c r="ED22" i="11"/>
  <c r="ER22" i="11"/>
  <c r="AL23" i="11"/>
  <c r="AZ23" i="11"/>
  <c r="BN23" i="11"/>
  <c r="BY23" i="11"/>
  <c r="CM23" i="11"/>
  <c r="CX23" i="11"/>
  <c r="DL23" i="11"/>
  <c r="DZ23" i="11"/>
  <c r="EK23" i="11"/>
  <c r="EY23" i="11"/>
  <c r="AS24" i="11"/>
  <c r="BG24" i="11"/>
  <c r="BU24" i="11"/>
  <c r="CF24" i="11"/>
  <c r="CT24" i="11"/>
  <c r="DE24" i="11"/>
  <c r="DS24" i="11"/>
  <c r="EG24" i="11"/>
  <c r="ER24" i="11"/>
  <c r="AO25" i="11"/>
  <c r="AZ25" i="11"/>
  <c r="BN25" i="11"/>
  <c r="CB25" i="11"/>
  <c r="CM25" i="11"/>
  <c r="DA25" i="11"/>
  <c r="DL25" i="11"/>
  <c r="DZ25" i="11"/>
  <c r="EJ25" i="11"/>
  <c r="EV25" i="11"/>
  <c r="AO26" i="11"/>
  <c r="CQ4" i="11"/>
  <c r="BS5" i="11"/>
  <c r="BY6" i="11"/>
  <c r="AR7" i="11"/>
  <c r="ES7" i="11"/>
  <c r="DV8" i="11"/>
  <c r="CD9" i="11"/>
  <c r="AX10" i="11"/>
  <c r="DN10" i="11"/>
  <c r="AY11" i="11"/>
  <c r="DE11" i="11"/>
  <c r="ER11" i="11"/>
  <c r="BV12" i="11"/>
  <c r="CZ12" i="11"/>
  <c r="EQ12" i="11"/>
  <c r="BQ13" i="11"/>
  <c r="CU13" i="11"/>
  <c r="EM13" i="11"/>
  <c r="AY14" i="11"/>
  <c r="CQ14" i="11"/>
  <c r="EA14" i="11"/>
  <c r="AU15" i="11"/>
  <c r="CE15" i="11"/>
  <c r="DP15" i="11"/>
  <c r="FA15" i="11"/>
  <c r="BX16" i="11"/>
  <c r="DE16" i="11"/>
  <c r="ES16" i="11"/>
  <c r="BI17" i="11"/>
  <c r="CW17" i="11"/>
  <c r="EN17" i="11"/>
  <c r="BA18" i="11"/>
  <c r="CR18" i="11"/>
  <c r="DV18" i="11"/>
  <c r="AW19" i="11"/>
  <c r="CK19" i="11"/>
  <c r="DO19" i="11"/>
  <c r="EX19" i="11"/>
  <c r="BJ20" i="11"/>
  <c r="CS20" i="11"/>
  <c r="EE20" i="11"/>
  <c r="AN21" i="11"/>
  <c r="BP21" i="11"/>
  <c r="CG21" i="11"/>
  <c r="DD21" i="11"/>
  <c r="DX21" i="11"/>
  <c r="ER21" i="11"/>
  <c r="AU22" i="11"/>
  <c r="BO22" i="11"/>
  <c r="CI22" i="11"/>
  <c r="DF22" i="11"/>
  <c r="DW22" i="11"/>
  <c r="ET22" i="11"/>
  <c r="AT23" i="11"/>
  <c r="BQ23" i="11"/>
  <c r="CN23" i="11"/>
  <c r="DE23" i="11"/>
  <c r="EB23" i="11"/>
  <c r="ES23" i="11"/>
  <c r="AY24" i="11"/>
  <c r="BV24" i="11"/>
  <c r="CM24" i="11"/>
  <c r="DJ24" i="11"/>
  <c r="EA24" i="11"/>
  <c r="EX24" i="11"/>
  <c r="BD25" i="11"/>
  <c r="BU25" i="11"/>
  <c r="CR25" i="11"/>
  <c r="DI25" i="11"/>
  <c r="EE25" i="11"/>
  <c r="EW25" i="11"/>
  <c r="AU26" i="11"/>
  <c r="BK26" i="11"/>
  <c r="BW26" i="11"/>
  <c r="CK26" i="11"/>
  <c r="DA26" i="11"/>
  <c r="DO26" i="11"/>
  <c r="EA26" i="11"/>
  <c r="EQ26" i="11"/>
  <c r="AN27" i="11"/>
  <c r="BB27" i="11"/>
  <c r="BR27" i="11"/>
  <c r="CD27" i="11"/>
  <c r="CR27" i="11"/>
  <c r="DH27" i="11"/>
  <c r="DV27" i="11"/>
  <c r="EH27" i="11"/>
  <c r="EX27" i="11"/>
  <c r="AU28" i="11"/>
  <c r="BI28" i="11"/>
  <c r="BY28" i="11"/>
  <c r="CK28" i="11"/>
  <c r="CY28" i="11"/>
  <c r="DO28" i="11"/>
  <c r="EC28" i="11"/>
  <c r="EO28" i="11"/>
  <c r="AN29" i="11"/>
  <c r="BB29" i="11"/>
  <c r="BP29" i="11"/>
  <c r="CF29" i="11"/>
  <c r="CR29" i="11"/>
  <c r="DF29" i="11"/>
  <c r="DV29" i="11"/>
  <c r="EJ29" i="11"/>
  <c r="EV29" i="11"/>
  <c r="AU30" i="11"/>
  <c r="BI30" i="11"/>
  <c r="BW30" i="11"/>
  <c r="CM30" i="11"/>
  <c r="CY30" i="11"/>
  <c r="DM30" i="11"/>
  <c r="EC30" i="11"/>
  <c r="EQ30" i="11"/>
  <c r="AL31" i="11"/>
  <c r="BB31" i="11"/>
  <c r="BP31" i="11"/>
  <c r="CD31" i="11"/>
  <c r="CT31" i="11"/>
  <c r="DF31" i="11"/>
  <c r="DT31" i="11"/>
  <c r="EJ31" i="11"/>
  <c r="EX31" i="11"/>
  <c r="AS32" i="11"/>
  <c r="BI32" i="11"/>
  <c r="BW32" i="11"/>
  <c r="CK32" i="11"/>
  <c r="DA32" i="11"/>
  <c r="DM32" i="11"/>
  <c r="EA32" i="11"/>
  <c r="EQ32" i="11"/>
  <c r="AN33" i="11"/>
  <c r="AZ33" i="11"/>
  <c r="BP33" i="11"/>
  <c r="CD33" i="11"/>
  <c r="CR33" i="11"/>
  <c r="DH33" i="11"/>
  <c r="DT33" i="11"/>
  <c r="EH33" i="11"/>
  <c r="EX33" i="11"/>
  <c r="AU34" i="11"/>
  <c r="BG34" i="11"/>
  <c r="BW34" i="11"/>
  <c r="CK34" i="11"/>
  <c r="CY34" i="11"/>
  <c r="DO34" i="11"/>
  <c r="EA34" i="11"/>
  <c r="EO34" i="11"/>
  <c r="AN35" i="11"/>
  <c r="BB35" i="11"/>
  <c r="BN35" i="11"/>
  <c r="CC35" i="11"/>
  <c r="CO35" i="11"/>
  <c r="CZ35" i="11"/>
  <c r="DN35" i="11"/>
  <c r="DY35" i="11"/>
  <c r="EK35" i="11"/>
  <c r="EX35" i="11"/>
  <c r="AS36" i="11"/>
  <c r="BD36" i="11"/>
  <c r="BR36" i="11"/>
  <c r="CC36" i="11"/>
  <c r="CO36" i="11"/>
  <c r="DB36" i="11"/>
  <c r="DM36" i="11"/>
  <c r="DW36" i="11"/>
  <c r="EI36" i="11"/>
  <c r="ES36" i="11"/>
  <c r="AL37" i="11"/>
  <c r="AX37" i="11"/>
  <c r="BH37" i="11"/>
  <c r="BR37" i="11"/>
  <c r="CA37" i="11"/>
  <c r="CM37" i="11"/>
  <c r="CW37" i="11"/>
  <c r="DF37" i="11"/>
  <c r="DO37" i="11"/>
  <c r="DY37" i="11"/>
  <c r="EH37" i="11"/>
  <c r="EQ37" i="11"/>
  <c r="EZ37" i="11"/>
  <c r="EK5" i="11"/>
  <c r="BI27" i="11"/>
  <c r="AS29" i="11"/>
  <c r="AZ30" i="11"/>
  <c r="DT30" i="11"/>
  <c r="BG31" i="11"/>
  <c r="CK31" i="11"/>
  <c r="DK31" i="11"/>
  <c r="FA31" i="11"/>
  <c r="CB32" i="11"/>
  <c r="DR32" i="11"/>
  <c r="AQ33" i="11"/>
  <c r="BU33" i="11"/>
  <c r="DK33" i="11"/>
  <c r="AL34" i="11"/>
  <c r="CB34" i="11"/>
  <c r="DR34" i="11"/>
  <c r="AS35" i="11"/>
  <c r="CR35" i="11"/>
  <c r="AK36" i="11"/>
  <c r="CT36" i="11"/>
  <c r="AQ37" i="11"/>
  <c r="CP37" i="11"/>
  <c r="EK37" i="11"/>
  <c r="EH6" i="11"/>
  <c r="CL10" i="11"/>
  <c r="DT11" i="11"/>
  <c r="DR12" i="11"/>
  <c r="BV13" i="11"/>
  <c r="BR14" i="11"/>
  <c r="DI14" i="11"/>
  <c r="DA15" i="11"/>
  <c r="CL16" i="11"/>
  <c r="CE17" i="11"/>
  <c r="EZ17" i="11"/>
  <c r="EU18" i="11"/>
  <c r="EE19" i="11"/>
  <c r="DI20" i="11"/>
  <c r="BB21" i="11"/>
  <c r="DN21" i="11"/>
  <c r="AK22" i="11"/>
  <c r="BY22" i="11"/>
  <c r="CV22" i="11"/>
  <c r="EJ22" i="11"/>
  <c r="AP23" i="11"/>
  <c r="CD23" i="11"/>
  <c r="DR23" i="11"/>
  <c r="AO24" i="11"/>
  <c r="CC24" i="11"/>
  <c r="DT24" i="11"/>
  <c r="AQ25" i="11"/>
  <c r="CE25" i="11"/>
  <c r="DS25" i="11"/>
  <c r="AL26" i="11"/>
  <c r="BO26" i="11"/>
  <c r="CE26" i="11"/>
  <c r="DG26" i="11"/>
  <c r="EI26" i="11"/>
  <c r="AV27" i="11"/>
  <c r="BJ27" i="11"/>
  <c r="CL27" i="11"/>
  <c r="DN27" i="11"/>
  <c r="AM28" i="11"/>
  <c r="BQ28" i="11"/>
  <c r="CC28" i="11"/>
  <c r="DG28" i="11"/>
  <c r="DU28" i="11"/>
  <c r="EW28" i="11"/>
  <c r="AT29" i="11"/>
  <c r="BX29" i="11"/>
  <c r="CZ29" i="11"/>
  <c r="DN29" i="11"/>
  <c r="AM30" i="11"/>
  <c r="BQ30" i="11"/>
  <c r="CQ30" i="11"/>
  <c r="EI30" i="11"/>
  <c r="BH31" i="11"/>
  <c r="CX31" i="11"/>
  <c r="EP31" i="11"/>
  <c r="BO32" i="11"/>
  <c r="DE32" i="11"/>
  <c r="EI32" i="11"/>
  <c r="BH33" i="11"/>
  <c r="CL33" i="11"/>
  <c r="EB33" i="11"/>
  <c r="BO34" i="11"/>
  <c r="DS34" i="11"/>
  <c r="AT35" i="11"/>
  <c r="CU35" i="11"/>
  <c r="EF35" i="11"/>
  <c r="AZ36" i="11"/>
  <c r="CJ36" i="11"/>
  <c r="DS36" i="11"/>
  <c r="EY36" i="11"/>
  <c r="BN37" i="11"/>
  <c r="CQ37" i="11"/>
  <c r="DT37" i="11"/>
  <c r="EU37" i="11"/>
  <c r="BC5" i="11"/>
  <c r="BP9" i="11"/>
  <c r="EX10" i="11"/>
  <c r="BE12" i="11"/>
  <c r="DZ12" i="11"/>
  <c r="DO13" i="11"/>
  <c r="BS14" i="11"/>
  <c r="BN15" i="11"/>
  <c r="EI15" i="11"/>
  <c r="EB16" i="11"/>
  <c r="CF17" i="11"/>
  <c r="CA18" i="11"/>
  <c r="BW19" i="11"/>
  <c r="EL19" i="11"/>
  <c r="DM20" i="11"/>
  <c r="BC21" i="11"/>
  <c r="DO21" i="11"/>
  <c r="AL22" i="11"/>
  <c r="CW22" i="11"/>
  <c r="AQ23" i="11"/>
  <c r="DB23" i="11"/>
  <c r="EP23" i="11"/>
  <c r="CG24" i="11"/>
  <c r="EO24" i="11"/>
  <c r="BO25" i="11"/>
  <c r="DT25" i="11"/>
  <c r="BD26" i="11"/>
  <c r="CT26" i="11"/>
  <c r="EL26" i="11"/>
  <c r="BK27" i="11"/>
  <c r="DA27" i="11"/>
  <c r="EE27" i="11"/>
  <c r="BD28" i="11"/>
  <c r="CV28" i="11"/>
  <c r="DH28" i="11"/>
  <c r="EZ28" i="11"/>
  <c r="BK29" i="11"/>
  <c r="DC29" i="11"/>
  <c r="ES29" i="11"/>
  <c r="BR30" i="11"/>
  <c r="DJ30" i="11"/>
  <c r="BY31" i="11"/>
  <c r="EQ31" i="11"/>
  <c r="CF32" i="11"/>
  <c r="DX32" i="11"/>
  <c r="AW33" i="11"/>
  <c r="CM33" i="11"/>
  <c r="EE33" i="11"/>
  <c r="BD34" i="11"/>
  <c r="CT34" i="11"/>
  <c r="EL34" i="11"/>
  <c r="BW35" i="11"/>
  <c r="DH35" i="11"/>
  <c r="ES35" i="11"/>
  <c r="EN36" i="11"/>
  <c r="CT37" i="11"/>
  <c r="EM37" i="11"/>
  <c r="EV6" i="11"/>
  <c r="BQ9" i="11"/>
  <c r="CI11" i="11"/>
  <c r="CW12" i="11"/>
  <c r="BA13" i="11"/>
  <c r="AP14" i="11"/>
  <c r="AL15" i="11"/>
  <c r="DG15" i="11"/>
  <c r="CY16" i="11"/>
  <c r="EF16" i="11"/>
  <c r="DX17" i="11"/>
  <c r="DT18" i="11"/>
  <c r="BX19" i="11"/>
  <c r="BE20" i="11"/>
  <c r="DQ20" i="11"/>
  <c r="CB21" i="11"/>
  <c r="EM21" i="11"/>
  <c r="CG22" i="11"/>
  <c r="DU22" i="11"/>
  <c r="BO23" i="11"/>
  <c r="DT23" i="11"/>
  <c r="BN24" i="11"/>
  <c r="DY24" i="11"/>
  <c r="AV25" i="11"/>
  <c r="DD25" i="11"/>
  <c r="AQ26" i="11"/>
  <c r="CI26" i="11"/>
  <c r="CU26" i="11"/>
  <c r="EM26" i="11"/>
  <c r="BL27" i="11"/>
  <c r="DB27" i="11"/>
  <c r="EF27" i="11"/>
  <c r="BE28" i="11"/>
  <c r="CW28" i="11"/>
  <c r="EM28" i="11"/>
  <c r="BL29" i="11"/>
  <c r="DD29" i="11"/>
  <c r="ET29" i="11"/>
  <c r="BS30" i="11"/>
  <c r="DK30" i="11"/>
  <c r="CR4" i="11"/>
  <c r="CR5" i="11"/>
  <c r="BZ6" i="11"/>
  <c r="BY7" i="11"/>
  <c r="ET7" i="11"/>
  <c r="EH8" i="11"/>
  <c r="CK9" i="11"/>
  <c r="BH10" i="11"/>
  <c r="ED10" i="11"/>
  <c r="BE11" i="11"/>
  <c r="DF11" i="11"/>
  <c r="EW11" i="11"/>
  <c r="BW12" i="11"/>
  <c r="DN12" i="11"/>
  <c r="ER12" i="11"/>
  <c r="BS13" i="11"/>
  <c r="CV13" i="11"/>
  <c r="EN13" i="11"/>
  <c r="BK14" i="11"/>
  <c r="CR14" i="11"/>
  <c r="EF14" i="11"/>
  <c r="AV15" i="11"/>
  <c r="CJ15" i="11"/>
  <c r="DU15" i="11"/>
  <c r="AN16" i="11"/>
  <c r="BY16" i="11"/>
  <c r="DI16" i="11"/>
  <c r="ET16" i="11"/>
  <c r="BT17" i="11"/>
  <c r="CX17" i="11"/>
  <c r="EO17" i="11"/>
  <c r="BB18" i="11"/>
  <c r="CT18" i="11"/>
  <c r="EK18" i="11"/>
  <c r="AX19" i="11"/>
  <c r="CO19" i="11"/>
  <c r="DP19" i="11"/>
  <c r="AK20" i="11"/>
  <c r="BT20" i="11"/>
  <c r="CW20" i="11"/>
  <c r="EF20" i="11"/>
  <c r="AR21" i="11"/>
  <c r="BQ21" i="11"/>
  <c r="CN21" i="11"/>
  <c r="DE21" i="11"/>
  <c r="EB21" i="11"/>
  <c r="ES21" i="11"/>
  <c r="AY22" i="11"/>
  <c r="BS22" i="11"/>
  <c r="CM22" i="11"/>
  <c r="DG22" i="11"/>
  <c r="EA22" i="11"/>
  <c r="EU22" i="11"/>
  <c r="BA23" i="11"/>
  <c r="BR23" i="11"/>
  <c r="CO23" i="11"/>
  <c r="DF23" i="11"/>
  <c r="EC23" i="11"/>
  <c r="EZ23" i="11"/>
  <c r="AZ24" i="11"/>
  <c r="BW24" i="11"/>
  <c r="CN24" i="11"/>
  <c r="DK24" i="11"/>
  <c r="EH24" i="11"/>
  <c r="EY24" i="11"/>
  <c r="BE25" i="11"/>
  <c r="BV25" i="11"/>
  <c r="CS25" i="11"/>
  <c r="DP25" i="11"/>
  <c r="EF25" i="11"/>
  <c r="EX25" i="11"/>
  <c r="AV26" i="11"/>
  <c r="BL26" i="11"/>
  <c r="BZ26" i="11"/>
  <c r="CL26" i="11"/>
  <c r="DB26" i="11"/>
  <c r="DP26" i="11"/>
  <c r="ED26" i="11"/>
  <c r="ET26" i="11"/>
  <c r="AO27" i="11"/>
  <c r="BC27" i="11"/>
  <c r="BS27" i="11"/>
  <c r="CG27" i="11"/>
  <c r="CS27" i="11"/>
  <c r="DI27" i="11"/>
  <c r="DW27" i="11"/>
  <c r="EK27" i="11"/>
  <c r="FA27" i="11"/>
  <c r="AV28" i="11"/>
  <c r="BJ28" i="11"/>
  <c r="BZ28" i="11"/>
  <c r="CN28" i="11"/>
  <c r="CZ28" i="11"/>
  <c r="DP28" i="11"/>
  <c r="ED28" i="11"/>
  <c r="ER28" i="11"/>
  <c r="AQ29" i="11"/>
  <c r="BC29" i="11"/>
  <c r="BQ29" i="11"/>
  <c r="CG29" i="11"/>
  <c r="CU29" i="11"/>
  <c r="DG29" i="11"/>
  <c r="DW29" i="11"/>
  <c r="EK29" i="11"/>
  <c r="EY29" i="11"/>
  <c r="AX30" i="11"/>
  <c r="BJ30" i="11"/>
  <c r="BX30" i="11"/>
  <c r="CN30" i="11"/>
  <c r="DB30" i="11"/>
  <c r="DN30" i="11"/>
  <c r="ED30" i="11"/>
  <c r="ER30" i="11"/>
  <c r="AO31" i="11"/>
  <c r="BE31" i="11"/>
  <c r="BQ31" i="11"/>
  <c r="CE31" i="11"/>
  <c r="CU31" i="11"/>
  <c r="DI31" i="11"/>
  <c r="DU31" i="11"/>
  <c r="EK31" i="11"/>
  <c r="EY31" i="11"/>
  <c r="AV32" i="11"/>
  <c r="BL32" i="11"/>
  <c r="BX32" i="11"/>
  <c r="CL32" i="11"/>
  <c r="DB32" i="11"/>
  <c r="DP32" i="11"/>
  <c r="EB32" i="11"/>
  <c r="ER32" i="11"/>
  <c r="AO33" i="11"/>
  <c r="BC33" i="11"/>
  <c r="BS33" i="11"/>
  <c r="CE33" i="11"/>
  <c r="CS33" i="11"/>
  <c r="DI33" i="11"/>
  <c r="DW33" i="11"/>
  <c r="EI33" i="11"/>
  <c r="EY33" i="11"/>
  <c r="AV34" i="11"/>
  <c r="BJ34" i="11"/>
  <c r="BZ34" i="11"/>
  <c r="CL34" i="11"/>
  <c r="CZ34" i="11"/>
  <c r="DP34" i="11"/>
  <c r="ED34" i="11"/>
  <c r="EP34" i="11"/>
  <c r="AO35" i="11"/>
  <c r="BC35" i="11"/>
  <c r="BQ35" i="11"/>
  <c r="CD35" i="11"/>
  <c r="CP35" i="11"/>
  <c r="DA35" i="11"/>
  <c r="DO35" i="11"/>
  <c r="DZ35" i="11"/>
  <c r="EL35" i="11"/>
  <c r="EY35" i="11"/>
  <c r="AT36" i="11"/>
  <c r="BE36" i="11"/>
  <c r="BS36" i="11"/>
  <c r="CD36" i="11"/>
  <c r="CP36" i="11"/>
  <c r="DD36" i="11"/>
  <c r="DN36" i="11"/>
  <c r="DX36" i="11"/>
  <c r="EJ36" i="11"/>
  <c r="ET36" i="11"/>
  <c r="AM37" i="11"/>
  <c r="AY37" i="11"/>
  <c r="BI37" i="11"/>
  <c r="BS37" i="11"/>
  <c r="CD37" i="11"/>
  <c r="CN37" i="11"/>
  <c r="CX37" i="11"/>
  <c r="DG37" i="11"/>
  <c r="DQ37" i="11"/>
  <c r="DZ37" i="11"/>
  <c r="EI37" i="11"/>
  <c r="ER37" i="11"/>
  <c r="FA37" i="11"/>
  <c r="EK36" i="11"/>
  <c r="BJ37" i="11"/>
  <c r="CE37" i="11"/>
  <c r="CY37" i="11"/>
  <c r="DR37" i="11"/>
  <c r="EA37" i="11"/>
  <c r="ES37" i="11"/>
  <c r="DR4" i="11"/>
  <c r="DG6" i="11"/>
  <c r="CX7" i="11"/>
  <c r="BQ8" i="11"/>
  <c r="AO9" i="11"/>
  <c r="DT9" i="11"/>
  <c r="CC10" i="11"/>
  <c r="EK10" i="11"/>
  <c r="BU11" i="11"/>
  <c r="DN11" i="11"/>
  <c r="AU12" i="11"/>
  <c r="CC12" i="11"/>
  <c r="DQ12" i="11"/>
  <c r="AQ13" i="11"/>
  <c r="BU13" i="11"/>
  <c r="DL13" i="11"/>
  <c r="EP13" i="11"/>
  <c r="BP14" i="11"/>
  <c r="DD14" i="11"/>
  <c r="EL14" i="11"/>
  <c r="BI15" i="11"/>
  <c r="CP15" i="11"/>
  <c r="ED15" i="11"/>
  <c r="BD16" i="11"/>
  <c r="CH16" i="11"/>
  <c r="DY16" i="11"/>
  <c r="AL17" i="11"/>
  <c r="CC17" i="11"/>
  <c r="DN17" i="11"/>
  <c r="EY17" i="11"/>
  <c r="BR18" i="11"/>
  <c r="DC18" i="11"/>
  <c r="EM18" i="11"/>
  <c r="BN19" i="11"/>
  <c r="CQ19" i="11"/>
  <c r="ED19" i="11"/>
  <c r="AM20" i="11"/>
  <c r="BY20" i="11"/>
  <c r="DH20" i="11"/>
  <c r="EK20" i="11"/>
  <c r="BA21" i="11"/>
  <c r="BS21" i="11"/>
  <c r="CP21" i="11"/>
  <c r="DM21" i="11"/>
  <c r="ED21" i="11"/>
  <c r="FA21" i="11"/>
  <c r="BA22" i="11"/>
  <c r="BX22" i="11"/>
  <c r="CU22" i="11"/>
  <c r="DL22" i="11"/>
  <c r="EI22" i="11"/>
  <c r="EZ22" i="11"/>
  <c r="BF23" i="11"/>
  <c r="BZ23" i="11"/>
  <c r="CT23" i="11"/>
  <c r="DN23" i="11"/>
  <c r="EH23" i="11"/>
  <c r="AK24" i="11"/>
  <c r="BH24" i="11"/>
  <c r="CV24" i="11"/>
  <c r="DM24" i="11"/>
  <c r="EJ24" i="11"/>
  <c r="AP25" i="11"/>
  <c r="BG25" i="11"/>
  <c r="CD25" i="11"/>
  <c r="CU25" i="11"/>
  <c r="DR25" i="11"/>
  <c r="EM25" i="11"/>
  <c r="EZ25" i="11"/>
  <c r="BB26" i="11"/>
  <c r="BN26" i="11"/>
  <c r="CB26" i="11"/>
  <c r="CR26" i="11"/>
  <c r="DF26" i="11"/>
  <c r="DR26" i="11"/>
  <c r="EH26" i="11"/>
  <c r="EV26" i="11"/>
  <c r="AS27" i="11"/>
  <c r="BU27" i="11"/>
  <c r="CI27" i="11"/>
  <c r="CY27" i="11"/>
  <c r="DM27" i="11"/>
  <c r="DY27" i="11"/>
  <c r="EO27" i="11"/>
  <c r="AL28" i="11"/>
  <c r="AZ28" i="11"/>
  <c r="BP28" i="11"/>
  <c r="CB28" i="11"/>
  <c r="CP28" i="11"/>
  <c r="DF28" i="11"/>
  <c r="DT28" i="11"/>
  <c r="EF28" i="11"/>
  <c r="EV28" i="11"/>
  <c r="BG29" i="11"/>
  <c r="BW29" i="11"/>
  <c r="CI29" i="11"/>
  <c r="CW29" i="11"/>
  <c r="EA29" i="11"/>
  <c r="EM29" i="11"/>
  <c r="AL30" i="11"/>
  <c r="BN30" i="11"/>
  <c r="CD30" i="11"/>
  <c r="CP30" i="11"/>
  <c r="DD30" i="11"/>
  <c r="EH30" i="11"/>
  <c r="ET30" i="11"/>
  <c r="BU31" i="11"/>
  <c r="CW31" i="11"/>
  <c r="EO31" i="11"/>
  <c r="AZ32" i="11"/>
  <c r="CR32" i="11"/>
  <c r="EH32" i="11"/>
  <c r="BG33" i="11"/>
  <c r="CY33" i="11"/>
  <c r="EO33" i="11"/>
  <c r="BN34" i="11"/>
  <c r="DF34" i="11"/>
  <c r="EV34" i="11"/>
  <c r="BE35" i="11"/>
  <c r="CG35" i="11"/>
  <c r="DF35" i="11"/>
  <c r="EC35" i="11"/>
  <c r="AV36" i="11"/>
  <c r="BU36" i="11"/>
  <c r="DF36" i="11"/>
  <c r="EB36" i="11"/>
  <c r="EV36" i="11"/>
  <c r="BK37" i="11"/>
  <c r="CF37" i="11"/>
  <c r="DA37" i="11"/>
  <c r="DS37" i="11"/>
  <c r="ET37" i="11"/>
  <c r="DZ4" i="11"/>
  <c r="CB8" i="11"/>
  <c r="EF9" i="11"/>
  <c r="BX11" i="11"/>
  <c r="AV12" i="11"/>
  <c r="AR13" i="11"/>
  <c r="AN14" i="11"/>
  <c r="BM15" i="11"/>
  <c r="BE16" i="11"/>
  <c r="DZ16" i="11"/>
  <c r="DV17" i="11"/>
  <c r="DK18" i="11"/>
  <c r="CY19" i="11"/>
  <c r="AW20" i="11"/>
  <c r="EL20" i="11"/>
  <c r="CQ21" i="11"/>
  <c r="EP27" i="11"/>
  <c r="ER29" i="11"/>
  <c r="DG30" i="11"/>
  <c r="AT31" i="11"/>
  <c r="CL31" i="11"/>
  <c r="EB31" i="11"/>
  <c r="BA32" i="11"/>
  <c r="CE32" i="11"/>
  <c r="DU32" i="11"/>
  <c r="AV33" i="11"/>
  <c r="CZ33" i="11"/>
  <c r="EP33" i="11"/>
  <c r="BC34" i="11"/>
  <c r="CS34" i="11"/>
  <c r="EI34" i="11"/>
  <c r="BJ35" i="11"/>
  <c r="CH35" i="11"/>
  <c r="DR35" i="11"/>
  <c r="AL36" i="11"/>
  <c r="BK36" i="11"/>
  <c r="CV36" i="11"/>
  <c r="EC36" i="11"/>
  <c r="AR37" i="11"/>
  <c r="BW37" i="11"/>
  <c r="DB37" i="11"/>
  <c r="EC37" i="11"/>
  <c r="EU5" i="11"/>
  <c r="CZ7" i="11"/>
  <c r="DC10" i="11"/>
  <c r="CH11" i="11"/>
  <c r="CO12" i="11"/>
  <c r="AS13" i="11"/>
  <c r="AO14" i="11"/>
  <c r="EX14" i="11"/>
  <c r="DB15" i="11"/>
  <c r="CX16" i="11"/>
  <c r="BB17" i="11"/>
  <c r="AX18" i="11"/>
  <c r="DS18" i="11"/>
  <c r="DF19" i="11"/>
  <c r="CG20" i="11"/>
  <c r="EV20" i="11"/>
  <c r="CR21" i="11"/>
  <c r="EL21" i="11"/>
  <c r="BZ22" i="11"/>
  <c r="DT22" i="11"/>
  <c r="BH23" i="11"/>
  <c r="DS23" i="11"/>
  <c r="BM24" i="11"/>
  <c r="DA24" i="11"/>
  <c r="AR25" i="11"/>
  <c r="DC25" i="11"/>
  <c r="EO25" i="11"/>
  <c r="BR26" i="11"/>
  <c r="DH26" i="11"/>
  <c r="EX26" i="11"/>
  <c r="BY27" i="11"/>
  <c r="DO27" i="11"/>
  <c r="AN28" i="11"/>
  <c r="CF28" i="11"/>
  <c r="DV28" i="11"/>
  <c r="AU29" i="11"/>
  <c r="CM29" i="11"/>
  <c r="DO29" i="11"/>
  <c r="AP30" i="11"/>
  <c r="CF30" i="11"/>
  <c r="DV30" i="11"/>
  <c r="EZ30" i="11"/>
  <c r="BI31" i="11"/>
  <c r="CM31" i="11"/>
  <c r="DQ31" i="11"/>
  <c r="AP32" i="11"/>
  <c r="BP32" i="11"/>
  <c r="CT32" i="11"/>
  <c r="EJ32" i="11"/>
  <c r="BK33" i="11"/>
  <c r="DA33" i="11"/>
  <c r="EQ33" i="11"/>
  <c r="BR34" i="11"/>
  <c r="DH34" i="11"/>
  <c r="EX34" i="11"/>
  <c r="BK35" i="11"/>
  <c r="CW35" i="11"/>
  <c r="DS35" i="11"/>
  <c r="AM36" i="11"/>
  <c r="BL36" i="11"/>
  <c r="CK36" i="11"/>
  <c r="DH36" i="11"/>
  <c r="ED36" i="11"/>
  <c r="AS37" i="11"/>
  <c r="BO37" i="11"/>
  <c r="CH37" i="11"/>
  <c r="DL37" i="11"/>
  <c r="DU37" i="11"/>
  <c r="EW37" i="11"/>
  <c r="EV5" i="11"/>
  <c r="EF7" i="11"/>
  <c r="EQ9" i="11"/>
  <c r="AU11" i="11"/>
  <c r="EO11" i="11"/>
  <c r="EH12" i="11"/>
  <c r="DW13" i="11"/>
  <c r="CH14" i="11"/>
  <c r="BO15" i="11"/>
  <c r="BK16" i="11"/>
  <c r="BC17" i="11"/>
  <c r="AY18" i="11"/>
  <c r="AQ19" i="11"/>
  <c r="DJ19" i="11"/>
  <c r="CK20" i="11"/>
  <c r="BH21" i="11"/>
  <c r="DP21" i="11"/>
  <c r="AM22" i="11"/>
  <c r="CX22" i="11"/>
  <c r="AR23" i="11"/>
  <c r="DC23" i="11"/>
  <c r="AW24" i="11"/>
  <c r="CK24" i="11"/>
  <c r="ES24" i="11"/>
  <c r="CJ25" i="11"/>
  <c r="EP25" i="11"/>
  <c r="BU26" i="11"/>
  <c r="DY26" i="11"/>
  <c r="AX27" i="11"/>
  <c r="CB27" i="11"/>
  <c r="DR27" i="11"/>
  <c r="AS28" i="11"/>
  <c r="CI28" i="11"/>
  <c r="DY28" i="11"/>
  <c r="FA28" i="11"/>
  <c r="BZ29" i="11"/>
  <c r="DP29" i="11"/>
  <c r="AQ30" i="11"/>
  <c r="CG30" i="11"/>
  <c r="DQ4" i="11"/>
  <c r="DR5" i="11"/>
  <c r="CZ6" i="11"/>
  <c r="CC7" i="11"/>
  <c r="AZ8" i="11"/>
  <c r="EI8" i="11"/>
  <c r="DK9" i="11"/>
  <c r="BN10" i="11"/>
  <c r="EE10" i="11"/>
  <c r="BG11" i="11"/>
  <c r="DG11" i="11"/>
  <c r="AS12" i="11"/>
  <c r="BX12" i="11"/>
  <c r="DP12" i="11"/>
  <c r="ES12" i="11"/>
  <c r="BT13" i="11"/>
  <c r="DK13" i="11"/>
  <c r="EO13" i="11"/>
  <c r="BO14" i="11"/>
  <c r="CS14" i="11"/>
  <c r="EJ14" i="11"/>
  <c r="BG15" i="11"/>
  <c r="CO15" i="11"/>
  <c r="EC15" i="11"/>
  <c r="AS16" i="11"/>
  <c r="CG16" i="11"/>
  <c r="DQ16" i="11"/>
  <c r="AK17" i="11"/>
  <c r="BU17" i="11"/>
  <c r="DF17" i="11"/>
  <c r="EQ17" i="11"/>
  <c r="BQ18" i="11"/>
  <c r="CU18" i="11"/>
  <c r="EL18" i="11"/>
  <c r="AY19" i="11"/>
  <c r="CP19" i="11"/>
  <c r="DZ19" i="11"/>
  <c r="AL20" i="11"/>
  <c r="BU20" i="11"/>
  <c r="CX20" i="11"/>
  <c r="EG20" i="11"/>
  <c r="AZ21" i="11"/>
  <c r="BR21" i="11"/>
  <c r="CO21" i="11"/>
  <c r="DF21" i="11"/>
  <c r="EC21" i="11"/>
  <c r="EZ21" i="11"/>
  <c r="AZ22" i="11"/>
  <c r="BW22" i="11"/>
  <c r="CN22" i="11"/>
  <c r="DK22" i="11"/>
  <c r="EE22" i="11"/>
  <c r="EY22" i="11"/>
  <c r="BB23" i="11"/>
  <c r="BV23" i="11"/>
  <c r="CP23" i="11"/>
  <c r="DM23" i="11"/>
  <c r="ED23" i="11"/>
  <c r="FA23" i="11"/>
  <c r="BA24" i="11"/>
  <c r="BX24" i="11"/>
  <c r="CU24" i="11"/>
  <c r="DL24" i="11"/>
  <c r="EI24" i="11"/>
  <c r="EZ24" i="11"/>
  <c r="BF25" i="11"/>
  <c r="CC25" i="11"/>
  <c r="CT25" i="11"/>
  <c r="DQ25" i="11"/>
  <c r="EG25" i="11"/>
  <c r="EY25" i="11"/>
  <c r="AY26" i="11"/>
  <c r="BM26" i="11"/>
  <c r="CA26" i="11"/>
  <c r="CQ26" i="11"/>
  <c r="DC26" i="11"/>
  <c r="DQ26" i="11"/>
  <c r="EG26" i="11"/>
  <c r="EU26" i="11"/>
  <c r="AP27" i="11"/>
  <c r="BF27" i="11"/>
  <c r="BT27" i="11"/>
  <c r="CH27" i="11"/>
  <c r="CX27" i="11"/>
  <c r="DJ27" i="11"/>
  <c r="DX27" i="11"/>
  <c r="EN27" i="11"/>
  <c r="AK28" i="11"/>
  <c r="AW28" i="11"/>
  <c r="BM28" i="11"/>
  <c r="CA28" i="11"/>
  <c r="CO28" i="11"/>
  <c r="DE28" i="11"/>
  <c r="DQ28" i="11"/>
  <c r="EE28" i="11"/>
  <c r="EU28" i="11"/>
  <c r="AR29" i="11"/>
  <c r="BD29" i="11"/>
  <c r="BT29" i="11"/>
  <c r="CH29" i="11"/>
  <c r="CV29" i="11"/>
  <c r="DL29" i="11"/>
  <c r="DX29" i="11"/>
  <c r="EL29" i="11"/>
  <c r="AK30" i="11"/>
  <c r="AY30" i="11"/>
  <c r="BK30" i="11"/>
  <c r="CA30" i="11"/>
  <c r="CO30" i="11"/>
  <c r="DC30" i="11"/>
  <c r="DS30" i="11"/>
  <c r="EE30" i="11"/>
  <c r="ES30" i="11"/>
  <c r="AR31" i="11"/>
  <c r="BF31" i="11"/>
  <c r="BR31" i="11"/>
  <c r="CH31" i="11"/>
  <c r="CV31" i="11"/>
  <c r="DJ31" i="11"/>
  <c r="DZ31" i="11"/>
  <c r="EL31" i="11"/>
  <c r="EZ31" i="11"/>
  <c r="AY32" i="11"/>
  <c r="BM32" i="11"/>
  <c r="BY32" i="11"/>
  <c r="CO32" i="11"/>
  <c r="DC32" i="11"/>
  <c r="DQ32" i="11"/>
  <c r="EG32" i="11"/>
  <c r="ES32" i="11"/>
  <c r="AP33" i="11"/>
  <c r="BF33" i="11"/>
  <c r="BT33" i="11"/>
  <c r="CF33" i="11"/>
  <c r="CV33" i="11"/>
  <c r="DJ33" i="11"/>
  <c r="DX33" i="11"/>
  <c r="EN33" i="11"/>
  <c r="EZ33" i="11"/>
  <c r="AW34" i="11"/>
  <c r="BM34" i="11"/>
  <c r="CA34" i="11"/>
  <c r="CM34" i="11"/>
  <c r="DC34" i="11"/>
  <c r="DQ34" i="11"/>
  <c r="EE34" i="11"/>
  <c r="EU34" i="11"/>
  <c r="AP35" i="11"/>
  <c r="BD35" i="11"/>
  <c r="BT35" i="11"/>
  <c r="CE35" i="11"/>
  <c r="CQ35" i="11"/>
  <c r="DE35" i="11"/>
  <c r="DP35" i="11"/>
  <c r="EA35" i="11"/>
  <c r="EO35" i="11"/>
  <c r="FA35" i="11"/>
  <c r="AU36" i="11"/>
  <c r="BI36" i="11"/>
  <c r="BT36" i="11"/>
  <c r="CF36" i="11"/>
  <c r="CS36" i="11"/>
  <c r="DE36" i="11"/>
  <c r="DO36" i="11"/>
  <c r="EA36" i="11"/>
  <c r="EU36" i="11"/>
  <c r="AP37" i="11"/>
  <c r="AZ37" i="11"/>
  <c r="BU37" i="11"/>
  <c r="CO37" i="11"/>
  <c r="DI37" i="11"/>
  <c r="EJ37" i="11"/>
  <c r="BY24" i="11"/>
  <c r="DM29" i="11"/>
  <c r="AS31" i="11"/>
  <c r="EA31" i="11"/>
  <c r="BN32" i="11"/>
  <c r="DD32" i="11"/>
  <c r="EV32" i="11"/>
  <c r="CI33" i="11"/>
  <c r="DY33" i="11"/>
  <c r="AX34" i="11"/>
  <c r="CP34" i="11"/>
  <c r="EF34" i="11"/>
  <c r="BU35" i="11"/>
  <c r="DQ35" i="11"/>
  <c r="EP35" i="11"/>
  <c r="BJ36" i="11"/>
  <c r="CG36" i="11"/>
  <c r="DP36" i="11"/>
  <c r="EL36" i="11"/>
  <c r="BA37" i="11"/>
  <c r="BV37" i="11"/>
  <c r="DJ37" i="11"/>
  <c r="EB37" i="11"/>
  <c r="ET5" i="11"/>
  <c r="CY7" i="11"/>
  <c r="AP9" i="11"/>
  <c r="ER10" i="11"/>
  <c r="CN12" i="11"/>
  <c r="DM13" i="11"/>
  <c r="EM14" i="11"/>
  <c r="EH15" i="11"/>
  <c r="BA17" i="11"/>
  <c r="BZ18" i="11"/>
  <c r="BO19" i="11"/>
  <c r="BZ20" i="11"/>
  <c r="BZ21" i="11"/>
  <c r="EE21" i="11"/>
  <c r="BH22" i="11"/>
  <c r="DM22" i="11"/>
  <c r="BG23" i="11"/>
  <c r="CU23" i="11"/>
  <c r="EL23" i="11"/>
  <c r="BI24" i="11"/>
  <c r="CW24" i="11"/>
  <c r="EK24" i="11"/>
  <c r="BH25" i="11"/>
  <c r="DB25" i="11"/>
  <c r="EN25" i="11"/>
  <c r="BC26" i="11"/>
  <c r="CS26" i="11"/>
  <c r="DW26" i="11"/>
  <c r="EW26" i="11"/>
  <c r="BV27" i="11"/>
  <c r="CZ27" i="11"/>
  <c r="ED27" i="11"/>
  <c r="BC28" i="11"/>
  <c r="CS28" i="11"/>
  <c r="EK28" i="11"/>
  <c r="BJ29" i="11"/>
  <c r="CJ29" i="11"/>
  <c r="EB29" i="11"/>
  <c r="BA30" i="11"/>
  <c r="CE30" i="11"/>
  <c r="DU30" i="11"/>
  <c r="EY30" i="11"/>
  <c r="BX31" i="11"/>
  <c r="DN31" i="11"/>
  <c r="AO32" i="11"/>
  <c r="CS32" i="11"/>
  <c r="EW32" i="11"/>
  <c r="BV33" i="11"/>
  <c r="DL33" i="11"/>
  <c r="AM34" i="11"/>
  <c r="CC34" i="11"/>
  <c r="DG34" i="11"/>
  <c r="EW34" i="11"/>
  <c r="BV35" i="11"/>
  <c r="DG35" i="11"/>
  <c r="EQ35" i="11"/>
  <c r="BV36" i="11"/>
  <c r="DG36" i="11"/>
  <c r="EM36" i="11"/>
  <c r="BB37" i="11"/>
  <c r="CG37" i="11"/>
  <c r="DK37" i="11"/>
  <c r="EL37" i="11"/>
  <c r="EU6" i="11"/>
  <c r="CM8" i="11"/>
  <c r="EO9" i="11"/>
  <c r="ED11" i="11"/>
  <c r="CK13" i="11"/>
  <c r="DJ14" i="11"/>
  <c r="BF16" i="11"/>
  <c r="DW17" i="11"/>
  <c r="EV18" i="11"/>
  <c r="BA20" i="11"/>
  <c r="CA21" i="11"/>
  <c r="BI22" i="11"/>
  <c r="EK22" i="11"/>
  <c r="CE23" i="11"/>
  <c r="AP24" i="11"/>
  <c r="DU24" i="11"/>
  <c r="CF25" i="11"/>
  <c r="AP26" i="11"/>
  <c r="CH26" i="11"/>
  <c r="DX26" i="11"/>
  <c r="AW27" i="11"/>
  <c r="CO27" i="11"/>
  <c r="ES27" i="11"/>
  <c r="BR28" i="11"/>
  <c r="EL28" i="11"/>
  <c r="BY29" i="11"/>
  <c r="EC29" i="11"/>
  <c r="BB30" i="11"/>
  <c r="CT30" i="11"/>
  <c r="EJ30" i="11"/>
  <c r="AW31" i="11"/>
  <c r="DA31" i="11"/>
  <c r="EC31" i="11"/>
  <c r="BD32" i="11"/>
  <c r="DH32" i="11"/>
  <c r="EX32" i="11"/>
  <c r="BW33" i="11"/>
  <c r="DO33" i="11"/>
  <c r="AN34" i="11"/>
  <c r="CD34" i="11"/>
  <c r="DV34" i="11"/>
  <c r="AU35" i="11"/>
  <c r="CI35" i="11"/>
  <c r="EG35" i="11"/>
  <c r="BA36" i="11"/>
  <c r="BX36" i="11"/>
  <c r="CW36" i="11"/>
  <c r="DT36" i="11"/>
  <c r="EZ36" i="11"/>
  <c r="BC37" i="11"/>
  <c r="BX37" i="11"/>
  <c r="DC37" i="11"/>
  <c r="ED37" i="11"/>
  <c r="BM5" i="11"/>
  <c r="CN8" i="11"/>
  <c r="DF10" i="11"/>
  <c r="BF12" i="11"/>
  <c r="CL13" i="11"/>
  <c r="DK14" i="11"/>
  <c r="EU15" i="11"/>
  <c r="CU17" i="11"/>
  <c r="CB18" i="11"/>
  <c r="EM19" i="11"/>
  <c r="EW20" i="11"/>
  <c r="CY21" i="11"/>
  <c r="BJ22" i="11"/>
  <c r="EL22" i="11"/>
  <c r="CF23" i="11"/>
  <c r="EQ23" i="11"/>
  <c r="DB24" i="11"/>
  <c r="BP25" i="11"/>
  <c r="EA25" i="11"/>
  <c r="BE26" i="11"/>
  <c r="DK26" i="11"/>
  <c r="AL27" i="11"/>
  <c r="CP27" i="11"/>
  <c r="ET27" i="11"/>
  <c r="BS28" i="11"/>
  <c r="DI28" i="11"/>
  <c r="AZ29" i="11"/>
  <c r="CP29" i="11"/>
  <c r="EF29" i="11"/>
  <c r="BG30" i="11"/>
  <c r="BR5" i="11"/>
  <c r="AW11" i="11"/>
  <c r="EE13" i="11"/>
  <c r="BL16" i="11"/>
  <c r="DU18" i="11"/>
  <c r="AM21" i="11"/>
  <c r="CH22" i="11"/>
  <c r="EA23" i="11"/>
  <c r="AW25" i="11"/>
  <c r="BV26" i="11"/>
  <c r="BM27" i="11"/>
  <c r="BH28" i="11"/>
  <c r="BA29" i="11"/>
  <c r="AR30" i="11"/>
  <c r="DZ30" i="11"/>
  <c r="BO31" i="11"/>
  <c r="DS31" i="11"/>
  <c r="BF32" i="11"/>
  <c r="DL32" i="11"/>
  <c r="AY33" i="11"/>
  <c r="DC33" i="11"/>
  <c r="AT34" i="11"/>
  <c r="CX34" i="11"/>
  <c r="AK35" i="11"/>
  <c r="CM35" i="11"/>
  <c r="EI35" i="11"/>
  <c r="BN36" i="11"/>
  <c r="DL36" i="11"/>
  <c r="AK37" i="11"/>
  <c r="BZ37" i="11"/>
  <c r="DN37" i="11"/>
  <c r="EY37" i="11"/>
  <c r="CC9" i="11"/>
  <c r="DH15" i="11"/>
  <c r="AR32" i="11"/>
  <c r="BZ35" i="11"/>
  <c r="BQ37" i="11"/>
  <c r="DM10" i="11"/>
  <c r="BA27" i="11"/>
  <c r="BN31" i="11"/>
  <c r="DK32" i="11"/>
  <c r="AQ34" i="11"/>
  <c r="CL35" i="11"/>
  <c r="DK36" i="11"/>
  <c r="EX37" i="11"/>
  <c r="BX6" i="11"/>
  <c r="CO11" i="11"/>
  <c r="AX14" i="11"/>
  <c r="CZ16" i="11"/>
  <c r="AU19" i="11"/>
  <c r="BL21" i="11"/>
  <c r="CY22" i="11"/>
  <c r="ER23" i="11"/>
  <c r="BT25" i="11"/>
  <c r="CJ26" i="11"/>
  <c r="CC27" i="11"/>
  <c r="BT28" i="11"/>
  <c r="BO29" i="11"/>
  <c r="BH30" i="11"/>
  <c r="EM30" i="11"/>
  <c r="BZ31" i="11"/>
  <c r="ED31" i="11"/>
  <c r="BU32" i="11"/>
  <c r="DY32" i="11"/>
  <c r="BL33" i="11"/>
  <c r="DR33" i="11"/>
  <c r="BE34" i="11"/>
  <c r="DI34" i="11"/>
  <c r="AX35" i="11"/>
  <c r="CX35" i="11"/>
  <c r="ET35" i="11"/>
  <c r="CA36" i="11"/>
  <c r="DU36" i="11"/>
  <c r="AT37" i="11"/>
  <c r="CI37" i="11"/>
  <c r="DV37" i="11"/>
  <c r="BU12" i="11"/>
  <c r="DS14" i="11"/>
  <c r="DN19" i="11"/>
  <c r="ES22" i="11"/>
  <c r="DH25" i="11"/>
  <c r="DE27" i="11"/>
  <c r="CQ29" i="11"/>
  <c r="CH30" i="11"/>
  <c r="CN31" i="11"/>
  <c r="CG32" i="11"/>
  <c r="CB33" i="11"/>
  <c r="BS34" i="11"/>
  <c r="BL35" i="11"/>
  <c r="DI35" i="11"/>
  <c r="CL36" i="11"/>
  <c r="BF37" i="11"/>
  <c r="EE37" i="11"/>
  <c r="CX12" i="11"/>
  <c r="AM15" i="11"/>
  <c r="EW19" i="11"/>
  <c r="AS23" i="11"/>
  <c r="EB25" i="11"/>
  <c r="DZ26" i="11"/>
  <c r="DL28" i="11"/>
  <c r="CW30" i="11"/>
  <c r="CO31" i="11"/>
  <c r="EW31" i="11"/>
  <c r="EN32" i="11"/>
  <c r="EG33" i="11"/>
  <c r="DZ34" i="11"/>
  <c r="DJ35" i="11"/>
  <c r="CN36" i="11"/>
  <c r="BG37" i="11"/>
  <c r="EG37" i="11"/>
  <c r="CA15" i="11"/>
  <c r="DY17" i="11"/>
  <c r="EN21" i="11"/>
  <c r="DI24" i="11"/>
  <c r="EN26" i="11"/>
  <c r="EB28" i="11"/>
  <c r="CX30" i="11"/>
  <c r="DD31" i="11"/>
  <c r="CU32" i="11"/>
  <c r="CN33" i="11"/>
  <c r="CI34" i="11"/>
  <c r="BY35" i="11"/>
  <c r="BB36" i="11"/>
  <c r="EQ36" i="11"/>
  <c r="DD37" i="11"/>
  <c r="AW10" i="11"/>
  <c r="AZ18" i="11"/>
  <c r="AT22" i="11"/>
  <c r="AT26" i="11"/>
  <c r="EU27" i="11"/>
  <c r="EI29" i="11"/>
  <c r="AY31" i="11"/>
  <c r="CV32" i="11"/>
  <c r="CQ33" i="11"/>
  <c r="EU33" i="11"/>
  <c r="EN34" i="11"/>
  <c r="BC36" i="11"/>
  <c r="ER36" i="11"/>
  <c r="DE37" i="11"/>
  <c r="CT13" i="11"/>
  <c r="DU20" i="11"/>
  <c r="DD23" i="11"/>
  <c r="BF26" i="11"/>
  <c r="AT28" i="11"/>
  <c r="EU29" i="11"/>
  <c r="DR31" i="11"/>
  <c r="AX33" i="11"/>
  <c r="CU34" i="11"/>
  <c r="EH35" i="11"/>
  <c r="FA36" i="11"/>
  <c r="DM37" i="11"/>
  <c r="AL7" i="11"/>
  <c r="EQ11" i="11"/>
  <c r="CI14" i="11"/>
  <c r="ER16" i="11"/>
  <c r="BY19" i="11"/>
  <c r="CF21" i="11"/>
  <c r="DV22" i="11"/>
  <c r="AX24" i="11"/>
  <c r="CN25" i="11"/>
  <c r="CX26" i="11"/>
  <c r="CQ27" i="11"/>
  <c r="CJ28" i="11"/>
  <c r="CA29" i="11"/>
  <c r="BV30" i="11"/>
  <c r="EP30" i="11"/>
  <c r="CC31" i="11"/>
  <c r="EG31" i="11"/>
  <c r="BV32" i="11"/>
  <c r="DZ32" i="11"/>
  <c r="BM33" i="11"/>
  <c r="DS33" i="11"/>
  <c r="BF34" i="11"/>
  <c r="DJ34" i="11"/>
  <c r="BA35" i="11"/>
  <c r="CY35" i="11"/>
  <c r="EU35" i="11"/>
  <c r="CB36" i="11"/>
  <c r="DV36" i="11"/>
  <c r="AU37" i="11"/>
  <c r="CL37" i="11"/>
  <c r="DW37" i="11"/>
  <c r="ER7" i="11"/>
  <c r="BD17" i="11"/>
  <c r="CZ21" i="11"/>
  <c r="BO24" i="11"/>
  <c r="DN26" i="11"/>
  <c r="CX28" i="11"/>
  <c r="FA30" i="11"/>
  <c r="ET31" i="11"/>
  <c r="EK32" i="11"/>
  <c r="EF33" i="11"/>
  <c r="DY34" i="11"/>
  <c r="AP36" i="11"/>
  <c r="EE36" i="11"/>
  <c r="CU37" i="11"/>
  <c r="CV8" i="11"/>
  <c r="CV17" i="11"/>
  <c r="DT21" i="11"/>
  <c r="CL24" i="11"/>
  <c r="DU27" i="11"/>
  <c r="DE29" i="11"/>
  <c r="AK31" i="11"/>
  <c r="CJ32" i="11"/>
  <c r="CC33" i="11"/>
  <c r="BT34" i="11"/>
  <c r="BM35" i="11"/>
  <c r="AR36" i="11"/>
  <c r="EF36" i="11"/>
  <c r="CV37" i="11"/>
  <c r="EP12" i="11"/>
  <c r="BI20" i="11"/>
  <c r="BP23" i="11"/>
  <c r="EQ25" i="11"/>
  <c r="EG27" i="11"/>
  <c r="DS29" i="11"/>
  <c r="AX31" i="11"/>
  <c r="AQ32" i="11"/>
  <c r="FA32" i="11"/>
  <c r="ER33" i="11"/>
  <c r="EM34" i="11"/>
  <c r="DW35" i="11"/>
  <c r="CX36" i="11"/>
  <c r="BP37" i="11"/>
  <c r="EO37" i="11"/>
  <c r="BC13" i="11"/>
  <c r="CR20" i="11"/>
  <c r="CG23" i="11"/>
  <c r="DZ24" i="11"/>
  <c r="AM27" i="11"/>
  <c r="EN28" i="11"/>
  <c r="DL30" i="11"/>
  <c r="DE31" i="11"/>
  <c r="AM33" i="11"/>
  <c r="CJ34" i="11"/>
  <c r="DX35" i="11"/>
  <c r="CY36" i="11"/>
  <c r="EP37" i="11"/>
  <c r="EV15" i="11"/>
  <c r="CQ18" i="11"/>
  <c r="BK22" i="11"/>
  <c r="EW24" i="11"/>
  <c r="AK29" i="11"/>
  <c r="DW30" i="11"/>
  <c r="BE32" i="11"/>
  <c r="DB33" i="11"/>
  <c r="EY34" i="11"/>
  <c r="BM36" i="11"/>
  <c r="BY37" i="11"/>
  <c r="DE5" i="11"/>
  <c r="AS5" i="11"/>
  <c r="CX4" i="11"/>
  <c r="AL4" i="11"/>
  <c r="AV9" i="11"/>
  <c r="DA8" i="11"/>
  <c r="AO8" i="11"/>
  <c r="CT7" i="11"/>
  <c r="EY6" i="11"/>
  <c r="CM6" i="11"/>
  <c r="ER5" i="11"/>
  <c r="CF5" i="11"/>
  <c r="EK4" i="11"/>
  <c r="BY4" i="11"/>
  <c r="CW5" i="11"/>
  <c r="AK5" i="11"/>
  <c r="CP4" i="11"/>
  <c r="CZ9" i="11"/>
  <c r="AN9" i="11"/>
  <c r="CS8" i="11"/>
  <c r="EX7" i="11"/>
  <c r="CL7" i="11"/>
  <c r="EQ6" i="11"/>
  <c r="CE6" i="11"/>
  <c r="EJ5" i="11"/>
  <c r="BX5" i="11"/>
  <c r="EC4" i="11"/>
  <c r="BQ4" i="11"/>
  <c r="CO5" i="11"/>
  <c r="ET4" i="11"/>
  <c r="CH4" i="11"/>
  <c r="CR9" i="11"/>
  <c r="EW8" i="11"/>
  <c r="CK8" i="11"/>
  <c r="EP7" i="11"/>
  <c r="CD7" i="11"/>
  <c r="EI6" i="11"/>
  <c r="BW6" i="11"/>
  <c r="EB5" i="11"/>
  <c r="BP5" i="11"/>
  <c r="DU4" i="11"/>
  <c r="BI4" i="11"/>
  <c r="CG5" i="11"/>
  <c r="EL4" i="11"/>
  <c r="BZ4" i="11"/>
  <c r="CJ9" i="11"/>
  <c r="EO8" i="11"/>
  <c r="CC8" i="11"/>
  <c r="EH7" i="11"/>
  <c r="BV7" i="11"/>
  <c r="EA6" i="11"/>
  <c r="BO6" i="11"/>
  <c r="DT5" i="11"/>
  <c r="BH5" i="11"/>
  <c r="DM4" i="11"/>
  <c r="BA4" i="11"/>
  <c r="BY5" i="11"/>
  <c r="ED4" i="11"/>
  <c r="BR4" i="11"/>
  <c r="CB9" i="11"/>
  <c r="EG8" i="11"/>
  <c r="BU8" i="11"/>
  <c r="DZ7" i="11"/>
  <c r="BN7" i="11"/>
  <c r="DS6" i="11"/>
  <c r="BG6" i="11"/>
  <c r="DL5" i="11"/>
  <c r="AZ5" i="11"/>
  <c r="DE4" i="11"/>
  <c r="AS4" i="11"/>
  <c r="BQ5" i="11"/>
  <c r="DV4" i="11"/>
  <c r="BJ4" i="11"/>
  <c r="BT9" i="11"/>
  <c r="DY8" i="11"/>
  <c r="BM8" i="11"/>
  <c r="DR7" i="11"/>
  <c r="BF7" i="11"/>
  <c r="DK6" i="11"/>
  <c r="AY6" i="11"/>
  <c r="DD5" i="11"/>
  <c r="AR5" i="11"/>
  <c r="CW4" i="11"/>
  <c r="BI5" i="11"/>
  <c r="DN4" i="11"/>
  <c r="BB4" i="11"/>
  <c r="BL9" i="11"/>
  <c r="DQ8" i="11"/>
  <c r="BE8" i="11"/>
  <c r="DJ7" i="11"/>
  <c r="AX7" i="11"/>
  <c r="DC6" i="11"/>
  <c r="AQ6" i="11"/>
  <c r="CV5" i="11"/>
  <c r="FA4" i="11"/>
  <c r="CO4" i="11"/>
  <c r="BA5" i="11"/>
  <c r="DF4" i="11"/>
  <c r="AT4" i="11"/>
  <c r="BD9" i="11"/>
  <c r="DI8" i="11"/>
  <c r="AW8" i="11"/>
  <c r="DB7" i="11"/>
  <c r="AP7" i="11"/>
  <c r="CU6" i="11"/>
  <c r="EZ5" i="11"/>
  <c r="CN5" i="11"/>
  <c r="ES4" i="11"/>
  <c r="CG4" i="11"/>
  <c r="CV24" i="1"/>
  <c r="K37" i="13" l="1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10" i="13"/>
  <c r="K7" i="13"/>
  <c r="K19" i="13"/>
  <c r="K15" i="13"/>
  <c r="K20" i="13"/>
  <c r="K12" i="13"/>
  <c r="K8" i="13"/>
  <c r="K14" i="13"/>
  <c r="K13" i="13"/>
  <c r="K16" i="13"/>
  <c r="K9" i="13"/>
  <c r="K6" i="13"/>
  <c r="K11" i="13"/>
  <c r="K17" i="13"/>
  <c r="K18" i="13"/>
  <c r="DK15" i="1"/>
  <c r="DK33" i="1"/>
  <c r="DK32" i="1"/>
  <c r="DK31" i="1"/>
  <c r="DK30" i="1"/>
  <c r="DK29" i="1"/>
  <c r="DK28" i="1"/>
  <c r="DK27" i="1"/>
  <c r="DK26" i="1"/>
  <c r="DK25" i="1"/>
  <c r="DK24" i="1"/>
  <c r="DK23" i="1"/>
  <c r="DK22" i="1"/>
  <c r="DK21" i="1"/>
  <c r="DK20" i="1"/>
  <c r="DK19" i="1"/>
  <c r="DK18" i="1"/>
  <c r="DK17" i="1"/>
  <c r="DK16" i="1"/>
  <c r="DK14" i="1"/>
  <c r="DK12" i="1"/>
  <c r="DA2" i="1"/>
  <c r="DA4" i="1"/>
  <c r="DK11" i="1"/>
  <c r="DK10" i="1"/>
  <c r="DK9" i="1"/>
  <c r="DK8" i="1"/>
  <c r="DK7" i="1"/>
  <c r="DK6" i="1"/>
  <c r="DK4" i="1"/>
  <c r="DK3" i="1"/>
  <c r="DK2" i="1"/>
  <c r="DF2" i="1"/>
  <c r="CQ33" i="1"/>
  <c r="CL33" i="1"/>
  <c r="CG33" i="1"/>
  <c r="CB33" i="1"/>
  <c r="BS33" i="1"/>
  <c r="BW33" i="1" s="1"/>
  <c r="BN33" i="1"/>
  <c r="BM33" i="1"/>
  <c r="BH33" i="1"/>
  <c r="BC33" i="1"/>
  <c r="AX33" i="1"/>
  <c r="AS33" i="1"/>
  <c r="AN33" i="1"/>
  <c r="AI33" i="1"/>
  <c r="AD33" i="1"/>
  <c r="Y33" i="1"/>
  <c r="T33" i="1"/>
  <c r="L33" i="1"/>
  <c r="O33" i="1" s="1"/>
  <c r="I33" i="1"/>
  <c r="H33" i="1"/>
  <c r="D33" i="1"/>
  <c r="DA31" i="1"/>
  <c r="CQ32" i="1"/>
  <c r="CL32" i="1"/>
  <c r="CG32" i="1"/>
  <c r="CB32" i="1"/>
  <c r="BS32" i="1"/>
  <c r="BW32" i="1" s="1"/>
  <c r="BN32" i="1"/>
  <c r="BM32" i="1"/>
  <c r="BH32" i="1"/>
  <c r="BC32" i="1"/>
  <c r="AX32" i="1"/>
  <c r="AS32" i="1"/>
  <c r="AN32" i="1"/>
  <c r="AI32" i="1"/>
  <c r="AD32" i="1"/>
  <c r="Y32" i="1"/>
  <c r="T32" i="1"/>
  <c r="L32" i="1"/>
  <c r="O32" i="1" s="1"/>
  <c r="I32" i="1"/>
  <c r="H32" i="1"/>
  <c r="D32" i="1"/>
  <c r="AF16" i="8"/>
  <c r="AF15" i="8"/>
  <c r="DF3" i="1"/>
  <c r="DF10" i="1"/>
  <c r="DF12" i="1"/>
  <c r="AH18" i="8"/>
  <c r="AH17" i="8"/>
  <c r="AH16" i="8"/>
  <c r="AH15" i="8"/>
  <c r="AG17" i="8"/>
  <c r="AG16" i="8"/>
  <c r="AG15" i="8"/>
  <c r="AG18" i="8"/>
  <c r="AE18" i="8"/>
  <c r="AE17" i="8"/>
  <c r="AE16" i="8"/>
  <c r="AE15" i="8"/>
  <c r="AD18" i="8"/>
  <c r="AD17" i="8"/>
  <c r="AD15" i="8"/>
  <c r="AC18" i="8"/>
  <c r="AC16" i="8"/>
  <c r="AC15" i="8"/>
  <c r="AB15" i="8"/>
  <c r="AB18" i="8"/>
  <c r="AB17" i="8"/>
  <c r="AB16" i="8"/>
  <c r="AA18" i="8"/>
  <c r="AA17" i="8"/>
  <c r="AA16" i="8"/>
  <c r="AA15" i="8"/>
  <c r="Z18" i="8"/>
  <c r="Z17" i="8"/>
  <c r="Z16" i="8"/>
  <c r="Z15" i="8"/>
  <c r="Y18" i="8"/>
  <c r="Y17" i="8"/>
  <c r="Y16" i="8"/>
  <c r="Y15" i="8"/>
  <c r="X18" i="8"/>
  <c r="X17" i="8"/>
  <c r="X16" i="8"/>
  <c r="X15" i="8"/>
  <c r="W18" i="8"/>
  <c r="W17" i="8"/>
  <c r="W16" i="8"/>
  <c r="W15" i="8"/>
  <c r="V18" i="8"/>
  <c r="V17" i="8"/>
  <c r="V16" i="8"/>
  <c r="V15" i="8"/>
  <c r="U18" i="8"/>
  <c r="U17" i="8"/>
  <c r="U16" i="8"/>
  <c r="U15" i="8"/>
  <c r="T15" i="8"/>
  <c r="T18" i="8"/>
  <c r="T17" i="8"/>
  <c r="T16" i="8"/>
  <c r="S18" i="8"/>
  <c r="S17" i="8"/>
  <c r="S16" i="8"/>
  <c r="S15" i="8"/>
  <c r="R18" i="8"/>
  <c r="R17" i="8"/>
  <c r="R16" i="8"/>
  <c r="R15" i="8"/>
  <c r="Q18" i="8"/>
  <c r="Q15" i="8"/>
  <c r="O18" i="8"/>
  <c r="O17" i="8"/>
  <c r="O16" i="8"/>
  <c r="N18" i="8"/>
  <c r="N17" i="8"/>
  <c r="N16" i="8"/>
  <c r="N15" i="8"/>
  <c r="L18" i="8"/>
  <c r="L15" i="8"/>
  <c r="K18" i="8"/>
  <c r="K17" i="8"/>
  <c r="K16" i="8"/>
  <c r="K15" i="8"/>
  <c r="J15" i="8"/>
  <c r="J18" i="8"/>
  <c r="J17" i="8"/>
  <c r="J16" i="8"/>
  <c r="I18" i="8"/>
  <c r="I17" i="8"/>
  <c r="I16" i="8"/>
  <c r="I15" i="8"/>
  <c r="H15" i="8"/>
  <c r="H18" i="8"/>
  <c r="H17" i="8"/>
  <c r="H16" i="8"/>
  <c r="G18" i="8"/>
  <c r="G17" i="8"/>
  <c r="G16" i="8"/>
  <c r="G15" i="8"/>
  <c r="F15" i="8"/>
  <c r="F18" i="8"/>
  <c r="F17" i="8"/>
  <c r="F16" i="8"/>
  <c r="E18" i="8"/>
  <c r="E17" i="8"/>
  <c r="E16" i="8"/>
  <c r="E15" i="8"/>
  <c r="C18" i="8"/>
  <c r="C17" i="8"/>
  <c r="C16" i="8"/>
  <c r="C15" i="8"/>
  <c r="B18" i="8"/>
  <c r="B15" i="8"/>
  <c r="B16" i="8"/>
  <c r="AF18" i="8"/>
  <c r="M18" i="8"/>
  <c r="D18" i="8"/>
  <c r="AF17" i="8"/>
  <c r="AC17" i="8"/>
  <c r="Q17" i="8"/>
  <c r="M17" i="8"/>
  <c r="L17" i="8"/>
  <c r="D17" i="8"/>
  <c r="B17" i="8"/>
  <c r="AD16" i="8"/>
  <c r="Q16" i="8"/>
  <c r="M16" i="8"/>
  <c r="L16" i="8"/>
  <c r="D16" i="8"/>
  <c r="M15" i="8"/>
  <c r="D15" i="8"/>
  <c r="CQ6" i="1" l="1"/>
  <c r="B15" i="7" l="1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DF31" i="1"/>
  <c r="CV31" i="1"/>
  <c r="CQ31" i="1"/>
  <c r="CL31" i="1"/>
  <c r="CG31" i="1"/>
  <c r="CB31" i="1"/>
  <c r="BS31" i="1"/>
  <c r="BW31" i="1" s="1"/>
  <c r="BN31" i="1"/>
  <c r="BM31" i="1"/>
  <c r="BH31" i="1"/>
  <c r="BC31" i="1"/>
  <c r="AX31" i="1"/>
  <c r="AS31" i="1"/>
  <c r="AN31" i="1"/>
  <c r="AI31" i="1"/>
  <c r="AD31" i="1"/>
  <c r="Y31" i="1"/>
  <c r="T31" i="1"/>
  <c r="L31" i="1"/>
  <c r="O31" i="1" s="1"/>
  <c r="I31" i="1"/>
  <c r="H31" i="1"/>
  <c r="D31" i="1"/>
  <c r="H30" i="1" l="1"/>
  <c r="I30" i="1"/>
  <c r="L30" i="1"/>
  <c r="O30" i="1" s="1"/>
  <c r="DF30" i="1"/>
  <c r="DA30" i="1"/>
  <c r="CV30" i="1"/>
  <c r="CQ30" i="1"/>
  <c r="CL30" i="1"/>
  <c r="CG30" i="1"/>
  <c r="CB30" i="1"/>
  <c r="BS30" i="1"/>
  <c r="BW30" i="1" s="1"/>
  <c r="BN30" i="1"/>
  <c r="BM30" i="1"/>
  <c r="BH30" i="1"/>
  <c r="BC30" i="1"/>
  <c r="AX30" i="1"/>
  <c r="AS30" i="1"/>
  <c r="AN30" i="1"/>
  <c r="AI30" i="1"/>
  <c r="AD30" i="1"/>
  <c r="D30" i="1"/>
  <c r="DF4" i="1" l="1"/>
  <c r="DF5" i="1"/>
  <c r="DF6" i="1"/>
  <c r="DF7" i="1"/>
  <c r="DF8" i="1"/>
  <c r="DF9" i="1"/>
  <c r="DF11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CV6" i="1" l="1"/>
  <c r="CR5" i="1"/>
  <c r="CT5" i="1"/>
  <c r="CU5" i="1"/>
  <c r="CW5" i="1"/>
  <c r="DA5" i="1" s="1"/>
  <c r="CQ3" i="1"/>
  <c r="CQ2" i="1"/>
  <c r="CQ9" i="1"/>
  <c r="DA29" i="1"/>
  <c r="DA28" i="1"/>
  <c r="DA27" i="1"/>
  <c r="DA26" i="1"/>
  <c r="DA25" i="1"/>
  <c r="DA24" i="1"/>
  <c r="DA23" i="1"/>
  <c r="DA22" i="1"/>
  <c r="DA21" i="1"/>
  <c r="DA20" i="1"/>
  <c r="DA19" i="1"/>
  <c r="DA18" i="1"/>
  <c r="DA17" i="1"/>
  <c r="DA16" i="1"/>
  <c r="DA15" i="1"/>
  <c r="DA14" i="1"/>
  <c r="DA13" i="1"/>
  <c r="DA12" i="1"/>
  <c r="DA11" i="1"/>
  <c r="DA10" i="1"/>
  <c r="DA9" i="1"/>
  <c r="DA8" i="1"/>
  <c r="DA7" i="1"/>
  <c r="DA6" i="1"/>
  <c r="DA3" i="1"/>
  <c r="CV29" i="1"/>
  <c r="CV28" i="1"/>
  <c r="CV27" i="1"/>
  <c r="CV26" i="1"/>
  <c r="CV25" i="1"/>
  <c r="CV23" i="1"/>
  <c r="CV22" i="1"/>
  <c r="CV21" i="1"/>
  <c r="CV20" i="1"/>
  <c r="CV19" i="1"/>
  <c r="CV18" i="1"/>
  <c r="CV17" i="1"/>
  <c r="CV16" i="1"/>
  <c r="CV15" i="1"/>
  <c r="CV14" i="1"/>
  <c r="CV13" i="1"/>
  <c r="CV12" i="1"/>
  <c r="CV11" i="1"/>
  <c r="CV10" i="1"/>
  <c r="CV9" i="1"/>
  <c r="CV8" i="1"/>
  <c r="CV7" i="1"/>
  <c r="CV4" i="1"/>
  <c r="CV3" i="1"/>
  <c r="CV2" i="1"/>
  <c r="CQ29" i="1"/>
  <c r="CQ28" i="1"/>
  <c r="CQ27" i="1"/>
  <c r="CQ26" i="1"/>
  <c r="CQ25" i="1"/>
  <c r="CQ24" i="1"/>
  <c r="CQ23" i="1"/>
  <c r="CQ22" i="1"/>
  <c r="CQ21" i="1"/>
  <c r="CQ20" i="1"/>
  <c r="CQ19" i="1"/>
  <c r="CQ18" i="1"/>
  <c r="CQ17" i="1"/>
  <c r="CQ16" i="1"/>
  <c r="CQ15" i="1"/>
  <c r="CQ14" i="1"/>
  <c r="CQ13" i="1"/>
  <c r="CQ12" i="1"/>
  <c r="CQ11" i="1"/>
  <c r="CQ10" i="1"/>
  <c r="CQ8" i="1"/>
  <c r="CQ7" i="1"/>
  <c r="CQ5" i="1"/>
  <c r="CQ4" i="1"/>
  <c r="CL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V5" i="1" l="1"/>
  <c r="CG29" i="1"/>
  <c r="CB29" i="1"/>
  <c r="BS29" i="1"/>
  <c r="BW29" i="1" s="1"/>
  <c r="BN29" i="1"/>
  <c r="BM29" i="1"/>
  <c r="BH29" i="1"/>
  <c r="BC29" i="1"/>
  <c r="AX29" i="1"/>
  <c r="AS29" i="1"/>
  <c r="AN29" i="1"/>
  <c r="AI29" i="1"/>
  <c r="AD29" i="1"/>
  <c r="Y29" i="1"/>
  <c r="T29" i="1"/>
  <c r="L29" i="1"/>
  <c r="O29" i="1" s="1"/>
  <c r="I29" i="1"/>
  <c r="H29" i="1"/>
  <c r="D29" i="1"/>
  <c r="CG28" i="1"/>
  <c r="CB28" i="1"/>
  <c r="BS28" i="1"/>
  <c r="BW28" i="1" s="1"/>
  <c r="BN28" i="1"/>
  <c r="BM28" i="1"/>
  <c r="BH28" i="1"/>
  <c r="BC28" i="1"/>
  <c r="AX28" i="1"/>
  <c r="AS28" i="1"/>
  <c r="AN28" i="1"/>
  <c r="AI28" i="1"/>
  <c r="AD28" i="1"/>
  <c r="D28" i="1"/>
  <c r="CG27" i="1"/>
  <c r="CB27" i="1"/>
  <c r="BS27" i="1"/>
  <c r="BW27" i="1" s="1"/>
  <c r="BN27" i="1"/>
  <c r="BM27" i="1"/>
  <c r="BH27" i="1"/>
  <c r="BC27" i="1"/>
  <c r="AX27" i="1"/>
  <c r="AS27" i="1"/>
  <c r="AN27" i="1"/>
  <c r="AI27" i="1"/>
  <c r="AD27" i="1"/>
  <c r="Y27" i="1"/>
  <c r="T27" i="1"/>
  <c r="L27" i="1"/>
  <c r="O27" i="1" s="1"/>
  <c r="I27" i="1"/>
  <c r="H27" i="1"/>
  <c r="D27" i="1"/>
  <c r="CG26" i="1"/>
  <c r="CB26" i="1"/>
  <c r="BS26" i="1"/>
  <c r="BW26" i="1" s="1"/>
  <c r="BN26" i="1"/>
  <c r="BM26" i="1"/>
  <c r="BH26" i="1"/>
  <c r="BC26" i="1"/>
  <c r="AX26" i="1"/>
  <c r="AS26" i="1"/>
  <c r="AN26" i="1"/>
  <c r="AI26" i="1"/>
  <c r="AD26" i="1"/>
  <c r="Y26" i="1"/>
  <c r="T26" i="1"/>
  <c r="L26" i="1"/>
  <c r="O26" i="1" s="1"/>
  <c r="I26" i="1"/>
  <c r="H26" i="1"/>
  <c r="D26" i="1"/>
  <c r="CG25" i="1"/>
  <c r="CB25" i="1"/>
  <c r="BS25" i="1"/>
  <c r="BW25" i="1" s="1"/>
  <c r="BN25" i="1"/>
  <c r="BM25" i="1"/>
  <c r="BH25" i="1"/>
  <c r="BC25" i="1"/>
  <c r="AX25" i="1"/>
  <c r="AS25" i="1"/>
  <c r="AN25" i="1"/>
  <c r="AI25" i="1"/>
  <c r="AD25" i="1"/>
  <c r="Y25" i="1"/>
  <c r="T25" i="1"/>
  <c r="L25" i="1"/>
  <c r="O25" i="1" s="1"/>
  <c r="I25" i="1"/>
  <c r="H25" i="1"/>
  <c r="D25" i="1"/>
  <c r="CG24" i="1"/>
  <c r="CB24" i="1"/>
  <c r="BS24" i="1"/>
  <c r="BW24" i="1" s="1"/>
  <c r="BN24" i="1"/>
  <c r="BM24" i="1"/>
  <c r="BH24" i="1"/>
  <c r="BC24" i="1"/>
  <c r="AX24" i="1"/>
  <c r="AS24" i="1"/>
  <c r="AN24" i="1"/>
  <c r="AI24" i="1"/>
  <c r="AD24" i="1"/>
  <c r="Y24" i="1"/>
  <c r="T24" i="1"/>
  <c r="L24" i="1"/>
  <c r="O24" i="1" s="1"/>
  <c r="I24" i="1"/>
  <c r="H24" i="1"/>
  <c r="D24" i="1"/>
  <c r="CG23" i="1"/>
  <c r="CB23" i="1"/>
  <c r="BS23" i="1"/>
  <c r="BW23" i="1" s="1"/>
  <c r="BN23" i="1"/>
  <c r="BM23" i="1"/>
  <c r="BH23" i="1"/>
  <c r="BC23" i="1"/>
  <c r="AX23" i="1"/>
  <c r="AS23" i="1"/>
  <c r="AN23" i="1"/>
  <c r="AI23" i="1"/>
  <c r="AD23" i="1"/>
  <c r="Y23" i="1"/>
  <c r="T23" i="1"/>
  <c r="L23" i="1"/>
  <c r="O23" i="1" s="1"/>
  <c r="I23" i="1"/>
  <c r="H23" i="1"/>
  <c r="D23" i="1"/>
  <c r="CG22" i="1"/>
  <c r="CB22" i="1"/>
  <c r="BS22" i="1"/>
  <c r="BW22" i="1" s="1"/>
  <c r="BN22" i="1"/>
  <c r="BM22" i="1"/>
  <c r="BH22" i="1"/>
  <c r="BC22" i="1"/>
  <c r="AX22" i="1"/>
  <c r="AS22" i="1"/>
  <c r="CG21" i="1"/>
  <c r="CB21" i="1"/>
  <c r="BS21" i="1"/>
  <c r="BW21" i="1" s="1"/>
  <c r="BN21" i="1"/>
  <c r="BM21" i="1"/>
  <c r="BH21" i="1"/>
  <c r="BC21" i="1"/>
  <c r="AX21" i="1"/>
  <c r="AS21" i="1"/>
  <c r="AN21" i="1"/>
  <c r="AI21" i="1"/>
  <c r="AD21" i="1"/>
  <c r="Y21" i="1"/>
  <c r="T21" i="1"/>
  <c r="L21" i="1"/>
  <c r="O21" i="1" s="1"/>
  <c r="I21" i="1"/>
  <c r="H21" i="1"/>
  <c r="D21" i="1"/>
  <c r="CG20" i="1"/>
  <c r="CB20" i="1"/>
  <c r="BS20" i="1"/>
  <c r="BW20" i="1" s="1"/>
  <c r="BN20" i="1"/>
  <c r="BM20" i="1"/>
  <c r="BH20" i="1"/>
  <c r="BC20" i="1"/>
  <c r="AX20" i="1"/>
  <c r="AS20" i="1"/>
  <c r="AN20" i="1"/>
  <c r="AI20" i="1"/>
  <c r="AD20" i="1"/>
  <c r="Y20" i="1"/>
  <c r="T20" i="1"/>
  <c r="L20" i="1"/>
  <c r="O20" i="1" s="1"/>
  <c r="I20" i="1"/>
  <c r="H20" i="1"/>
  <c r="D20" i="1"/>
  <c r="CG19" i="1"/>
  <c r="CB19" i="1"/>
  <c r="BS19" i="1"/>
  <c r="BW19" i="1" s="1"/>
  <c r="BN19" i="1"/>
  <c r="BM19" i="1"/>
  <c r="BH19" i="1"/>
  <c r="BC19" i="1"/>
  <c r="AX19" i="1"/>
  <c r="AS19" i="1"/>
  <c r="AN19" i="1"/>
  <c r="AI19" i="1"/>
  <c r="AD19" i="1"/>
  <c r="L19" i="1"/>
  <c r="I19" i="1"/>
  <c r="D19" i="1"/>
  <c r="CG18" i="1"/>
  <c r="CB18" i="1"/>
  <c r="BS18" i="1"/>
  <c r="BW18" i="1" s="1"/>
  <c r="BN18" i="1"/>
  <c r="BM18" i="1"/>
  <c r="BH18" i="1"/>
  <c r="BC18" i="1"/>
  <c r="AX18" i="1"/>
  <c r="AS18" i="1"/>
  <c r="AN18" i="1"/>
  <c r="AI18" i="1"/>
  <c r="AD18" i="1"/>
  <c r="Y18" i="1"/>
  <c r="T18" i="1"/>
  <c r="L18" i="1"/>
  <c r="O18" i="1" s="1"/>
  <c r="I18" i="1"/>
  <c r="H18" i="1"/>
  <c r="D18" i="1"/>
  <c r="CG17" i="1"/>
  <c r="CB17" i="1"/>
  <c r="BS17" i="1"/>
  <c r="BW17" i="1" s="1"/>
  <c r="BN17" i="1"/>
  <c r="BM17" i="1"/>
  <c r="BH17" i="1"/>
  <c r="BC17" i="1"/>
  <c r="AX17" i="1"/>
  <c r="AS17" i="1"/>
  <c r="AN17" i="1"/>
  <c r="AI17" i="1"/>
  <c r="AD17" i="1"/>
  <c r="Y17" i="1"/>
  <c r="T17" i="1"/>
  <c r="L17" i="1"/>
  <c r="O17" i="1" s="1"/>
  <c r="I17" i="1"/>
  <c r="H17" i="1"/>
  <c r="D17" i="1"/>
  <c r="CG16" i="1"/>
  <c r="CB16" i="1"/>
  <c r="BS16" i="1"/>
  <c r="BW16" i="1" s="1"/>
  <c r="BN16" i="1"/>
  <c r="BM16" i="1"/>
  <c r="BH16" i="1"/>
  <c r="BC16" i="1"/>
  <c r="AX16" i="1"/>
  <c r="AS16" i="1"/>
  <c r="AN16" i="1"/>
  <c r="AI16" i="1"/>
  <c r="AD16" i="1"/>
  <c r="Y16" i="1"/>
  <c r="L16" i="1"/>
  <c r="I16" i="1"/>
  <c r="D16" i="1"/>
  <c r="CG15" i="1"/>
  <c r="CB15" i="1"/>
  <c r="BS15" i="1"/>
  <c r="BW15" i="1" s="1"/>
  <c r="BN15" i="1"/>
  <c r="BM15" i="1"/>
  <c r="BH15" i="1"/>
  <c r="BC15" i="1"/>
  <c r="AX15" i="1"/>
  <c r="AS15" i="1"/>
  <c r="AN15" i="1"/>
  <c r="AI15" i="1"/>
  <c r="AD15" i="1"/>
  <c r="Y15" i="1"/>
  <c r="T15" i="1"/>
  <c r="L15" i="1"/>
  <c r="O15" i="1" s="1"/>
  <c r="I15" i="1"/>
  <c r="H15" i="1"/>
  <c r="D15" i="1"/>
  <c r="CG14" i="1"/>
  <c r="CB14" i="1"/>
  <c r="BS14" i="1"/>
  <c r="BW14" i="1" s="1"/>
  <c r="BN14" i="1"/>
  <c r="BM14" i="1"/>
  <c r="BH14" i="1"/>
  <c r="BC14" i="1"/>
  <c r="AX14" i="1"/>
  <c r="AS14" i="1"/>
  <c r="AN14" i="1"/>
  <c r="AI14" i="1"/>
  <c r="AD14" i="1"/>
  <c r="Y14" i="1"/>
  <c r="T14" i="1"/>
  <c r="L14" i="1"/>
  <c r="O14" i="1" s="1"/>
  <c r="I14" i="1"/>
  <c r="H14" i="1"/>
  <c r="D14" i="1"/>
  <c r="CG13" i="1"/>
  <c r="CB13" i="1"/>
  <c r="BS13" i="1"/>
  <c r="BW13" i="1" s="1"/>
  <c r="BN13" i="1"/>
  <c r="BM13" i="1"/>
  <c r="BH13" i="1"/>
  <c r="BC13" i="1"/>
  <c r="AX13" i="1"/>
  <c r="AS13" i="1"/>
  <c r="AN13" i="1"/>
  <c r="AI13" i="1"/>
  <c r="AD13" i="1"/>
  <c r="Y13" i="1"/>
  <c r="T13" i="1"/>
  <c r="L13" i="1"/>
  <c r="O13" i="1" s="1"/>
  <c r="I13" i="1"/>
  <c r="H13" i="1"/>
  <c r="D13" i="1"/>
  <c r="CG12" i="1"/>
  <c r="CB12" i="1"/>
  <c r="BS12" i="1"/>
  <c r="BW12" i="1" s="1"/>
  <c r="BN12" i="1"/>
  <c r="BM12" i="1"/>
  <c r="BH12" i="1"/>
  <c r="BC12" i="1"/>
  <c r="AX12" i="1"/>
  <c r="AS12" i="1"/>
  <c r="AN12" i="1"/>
  <c r="AI12" i="1"/>
  <c r="AD12" i="1"/>
  <c r="Y12" i="1"/>
  <c r="T12" i="1"/>
  <c r="L12" i="1"/>
  <c r="O12" i="1" s="1"/>
  <c r="I12" i="1"/>
  <c r="H12" i="1"/>
  <c r="D12" i="1"/>
  <c r="CG11" i="1"/>
  <c r="CB11" i="1"/>
  <c r="BS11" i="1"/>
  <c r="BW11" i="1" s="1"/>
  <c r="BN11" i="1"/>
  <c r="BM11" i="1"/>
  <c r="BH11" i="1"/>
  <c r="BC11" i="1"/>
  <c r="AX11" i="1"/>
  <c r="AS11" i="1"/>
  <c r="AN11" i="1"/>
  <c r="AI11" i="1"/>
  <c r="AD11" i="1"/>
  <c r="Y11" i="1"/>
  <c r="T11" i="1"/>
  <c r="L11" i="1"/>
  <c r="O11" i="1" s="1"/>
  <c r="I11" i="1"/>
  <c r="H11" i="1"/>
  <c r="D11" i="1"/>
  <c r="CG10" i="1"/>
  <c r="CB10" i="1"/>
  <c r="BW10" i="1"/>
  <c r="CG9" i="1"/>
  <c r="CB9" i="1"/>
  <c r="BS9" i="1"/>
  <c r="BW9" i="1" s="1"/>
  <c r="BN9" i="1"/>
  <c r="BM9" i="1"/>
  <c r="BH9" i="1"/>
  <c r="BC9" i="1"/>
  <c r="AX9" i="1"/>
  <c r="AS9" i="1"/>
  <c r="AN9" i="1"/>
  <c r="AI9" i="1"/>
  <c r="AD9" i="1"/>
  <c r="Y9" i="1"/>
  <c r="T9" i="1"/>
  <c r="L9" i="1"/>
  <c r="O9" i="1" s="1"/>
  <c r="I9" i="1"/>
  <c r="H9" i="1"/>
  <c r="D9" i="1"/>
  <c r="CG8" i="1"/>
  <c r="CB8" i="1"/>
  <c r="BS8" i="1"/>
  <c r="BW8" i="1" s="1"/>
  <c r="BN8" i="1"/>
  <c r="BM8" i="1"/>
  <c r="BH8" i="1"/>
  <c r="BC8" i="1"/>
  <c r="AX8" i="1"/>
  <c r="AS8" i="1"/>
  <c r="AN8" i="1"/>
  <c r="AI8" i="1"/>
  <c r="AD8" i="1"/>
  <c r="Y8" i="1"/>
  <c r="T8" i="1"/>
  <c r="L8" i="1"/>
  <c r="I8" i="1"/>
  <c r="H8" i="1"/>
  <c r="D8" i="1"/>
  <c r="CG7" i="1"/>
  <c r="CB7" i="1"/>
  <c r="BS7" i="1"/>
  <c r="BW7" i="1" s="1"/>
  <c r="BN7" i="1"/>
  <c r="BM7" i="1"/>
  <c r="BH7" i="1"/>
  <c r="BC7" i="1"/>
  <c r="AX7" i="1"/>
  <c r="AS7" i="1"/>
  <c r="AN7" i="1"/>
  <c r="AI7" i="1"/>
  <c r="AD7" i="1"/>
  <c r="Y7" i="1"/>
  <c r="T7" i="1"/>
  <c r="L7" i="1"/>
  <c r="O7" i="1" s="1"/>
  <c r="I7" i="1"/>
  <c r="H7" i="1"/>
  <c r="D7" i="1"/>
  <c r="CG6" i="1"/>
  <c r="CB6" i="1"/>
  <c r="BS6" i="1"/>
  <c r="BW6" i="1" s="1"/>
  <c r="BN6" i="1"/>
  <c r="BM6" i="1"/>
  <c r="BH6" i="1"/>
  <c r="BC6" i="1"/>
  <c r="AX6" i="1"/>
  <c r="AS6" i="1"/>
  <c r="AN6" i="1"/>
  <c r="AI6" i="1"/>
  <c r="AD6" i="1"/>
  <c r="Y6" i="1"/>
  <c r="T6" i="1"/>
  <c r="L6" i="1"/>
  <c r="O6" i="1" s="1"/>
  <c r="I6" i="1"/>
  <c r="H6" i="1"/>
  <c r="D6" i="1"/>
  <c r="CG5" i="1"/>
  <c r="CB5" i="1"/>
  <c r="BS5" i="1"/>
  <c r="BW5" i="1" s="1"/>
  <c r="BN5" i="1"/>
  <c r="BM5" i="1"/>
  <c r="BH5" i="1"/>
  <c r="BC5" i="1"/>
  <c r="AX5" i="1"/>
  <c r="AS5" i="1"/>
  <c r="AN5" i="1"/>
  <c r="AI5" i="1"/>
  <c r="AD5" i="1"/>
  <c r="Y5" i="1"/>
  <c r="T5" i="1"/>
  <c r="L5" i="1"/>
  <c r="O5" i="1" s="1"/>
  <c r="I5" i="1"/>
  <c r="H5" i="1"/>
  <c r="D5" i="1"/>
  <c r="CG4" i="1"/>
  <c r="CB4" i="1"/>
  <c r="BS4" i="1"/>
  <c r="BW4" i="1" s="1"/>
  <c r="BN4" i="1"/>
  <c r="BM4" i="1"/>
  <c r="BH4" i="1"/>
  <c r="BC4" i="1"/>
  <c r="AX4" i="1"/>
  <c r="AS4" i="1"/>
  <c r="AN4" i="1"/>
  <c r="AI4" i="1"/>
  <c r="AD4" i="1"/>
  <c r="D4" i="1"/>
  <c r="CG3" i="1"/>
  <c r="CB3" i="1"/>
  <c r="BS3" i="1"/>
  <c r="BW3" i="1" s="1"/>
  <c r="BN3" i="1"/>
  <c r="BM3" i="1"/>
  <c r="BH3" i="1"/>
  <c r="BC3" i="1"/>
  <c r="AX3" i="1"/>
  <c r="AS3" i="1"/>
  <c r="AN3" i="1"/>
  <c r="AI3" i="1"/>
  <c r="AD3" i="1"/>
  <c r="Y3" i="1"/>
  <c r="T3" i="1"/>
  <c r="L3" i="1"/>
  <c r="O3" i="1" s="1"/>
  <c r="I3" i="1"/>
  <c r="H3" i="1"/>
  <c r="D3" i="1"/>
  <c r="CG2" i="1"/>
  <c r="CB2" i="1"/>
  <c r="BS2" i="1"/>
  <c r="BW2" i="1" s="1"/>
  <c r="BN2" i="1"/>
  <c r="BM2" i="1"/>
  <c r="BH2" i="1"/>
  <c r="BC2" i="1"/>
  <c r="AX2" i="1"/>
  <c r="AS2" i="1"/>
  <c r="AN2" i="1"/>
  <c r="AI2" i="1"/>
  <c r="AD2" i="1"/>
  <c r="Y2" i="1"/>
  <c r="T2" i="1"/>
  <c r="L2" i="1"/>
  <c r="O2" i="1" s="1"/>
  <c r="I2" i="1"/>
  <c r="H2" i="1"/>
  <c r="D2" i="1"/>
</calcChain>
</file>

<file path=xl/sharedStrings.xml><?xml version="1.0" encoding="utf-8"?>
<sst xmlns="http://schemas.openxmlformats.org/spreadsheetml/2006/main" count="1061" uniqueCount="221">
  <si>
    <t>Item #</t>
  </si>
  <si>
    <t>Product</t>
  </si>
  <si>
    <t>Landed Cost;          Current 4/2008</t>
  </si>
  <si>
    <t>Price /lb</t>
  </si>
  <si>
    <t>OCT -SEPT 00</t>
  </si>
  <si>
    <t>OCT-MAR 01</t>
  </si>
  <si>
    <t>APR -SEPT 01</t>
  </si>
  <si>
    <t>Total 01</t>
  </si>
  <si>
    <t>OCT01-MAR02</t>
  </si>
  <si>
    <t>OCT01-MAR022</t>
  </si>
  <si>
    <t>JAN-MAR 02</t>
  </si>
  <si>
    <t>APR02-SEPT02</t>
  </si>
  <si>
    <t>APR-JUN 02</t>
  </si>
  <si>
    <t>JUL-SEPT 02</t>
  </si>
  <si>
    <t>TOTAL 02</t>
  </si>
  <si>
    <t>OCT-DEC 02</t>
  </si>
  <si>
    <t>JAN-MAR 03</t>
  </si>
  <si>
    <t>APR-JUN 03</t>
  </si>
  <si>
    <t>JUL-SEPT</t>
  </si>
  <si>
    <t>TOTAL 03</t>
  </si>
  <si>
    <t>OCT-DEC03</t>
  </si>
  <si>
    <t>JAN-MAR04</t>
  </si>
  <si>
    <t>APR-JUN04</t>
  </si>
  <si>
    <t>JUL-SEPT04</t>
  </si>
  <si>
    <t>TOTAL 04</t>
  </si>
  <si>
    <t>OCT-DEC04</t>
  </si>
  <si>
    <t>JAN-MAR05</t>
  </si>
  <si>
    <t>APR-JUNE05</t>
  </si>
  <si>
    <t>JULY-SEPT05</t>
  </si>
  <si>
    <t>TOTAL 05</t>
  </si>
  <si>
    <t>OCT-DEC05</t>
  </si>
  <si>
    <t>JAN-MAR06</t>
  </si>
  <si>
    <t>APR-JUN06</t>
  </si>
  <si>
    <t>JUL-SEP06</t>
  </si>
  <si>
    <t>TOTAL 06</t>
  </si>
  <si>
    <t>OCT-DEC06</t>
  </si>
  <si>
    <t>JAN-MAR07</t>
  </si>
  <si>
    <t>APR-JUN07</t>
  </si>
  <si>
    <t>JUL-SEP07</t>
  </si>
  <si>
    <t>TOTAL  07</t>
  </si>
  <si>
    <t>OCT-DEC07</t>
  </si>
  <si>
    <t>JAN-MAR08</t>
  </si>
  <si>
    <t>APR-JUN08</t>
  </si>
  <si>
    <t>JUL-SEP08</t>
  </si>
  <si>
    <t>TOTAL  08</t>
  </si>
  <si>
    <t>OCT-DEC08</t>
  </si>
  <si>
    <t>JAN-MAR09</t>
  </si>
  <si>
    <t>APR-JUN09</t>
  </si>
  <si>
    <t>JUL-SEP09</t>
  </si>
  <si>
    <t>TOTAL  09</t>
  </si>
  <si>
    <t>OCT-DEC09</t>
  </si>
  <si>
    <t>JAN-MAR10</t>
  </si>
  <si>
    <t>APR-JUN10</t>
  </si>
  <si>
    <t>JUL-SEP10</t>
  </si>
  <si>
    <t>TOTAL 10</t>
  </si>
  <si>
    <t>OCT-DEC 10</t>
  </si>
  <si>
    <t>JAN-MAR 11</t>
  </si>
  <si>
    <t>APR-JUN 11</t>
  </si>
  <si>
    <t>JUL-SEP11</t>
  </si>
  <si>
    <t>TOTAL 11</t>
  </si>
  <si>
    <t>OCT-DEC 11</t>
  </si>
  <si>
    <t>JAN-MAR 12</t>
  </si>
  <si>
    <t>APR-JUN 12</t>
  </si>
  <si>
    <t>JUL-SEP12</t>
  </si>
  <si>
    <t>TOTAL 12</t>
  </si>
  <si>
    <t>FY13 HALF</t>
  </si>
  <si>
    <t>OCT-DEC 12</t>
  </si>
  <si>
    <t>JAN-MAR 13</t>
  </si>
  <si>
    <t>APR-JUN 13</t>
  </si>
  <si>
    <t>JUL-SEP13</t>
  </si>
  <si>
    <t>TOTAL 13</t>
  </si>
  <si>
    <t>OCT-DEC 13</t>
  </si>
  <si>
    <t>JAN-MAR 14</t>
  </si>
  <si>
    <t>APR-JUN 14</t>
  </si>
  <si>
    <t>TOTAL 14</t>
  </si>
  <si>
    <t>JUL-SEP 14</t>
  </si>
  <si>
    <t>OCT-DEC 14</t>
  </si>
  <si>
    <t>JAN-MAR 15</t>
  </si>
  <si>
    <t>APR-JUN 15</t>
  </si>
  <si>
    <t>TOTAL 15</t>
  </si>
  <si>
    <t>JUL-SEP 15</t>
  </si>
  <si>
    <t>OCT-DEC 15</t>
  </si>
  <si>
    <t>JAN-MAR 16</t>
  </si>
  <si>
    <t>APR-JUN 16</t>
  </si>
  <si>
    <t>TOTAL 16</t>
  </si>
  <si>
    <t>JUL-SEP 16</t>
  </si>
  <si>
    <t>OCT-DEC 16</t>
  </si>
  <si>
    <t>JAN-MAR 17</t>
  </si>
  <si>
    <t>APR-JUN 17</t>
  </si>
  <si>
    <t>TOTAL 17</t>
  </si>
  <si>
    <t>JUL-SEP 17</t>
  </si>
  <si>
    <t>OCT-DEC 17</t>
  </si>
  <si>
    <t>JAN-MAR 18</t>
  </si>
  <si>
    <t>APR-JUN 18</t>
  </si>
  <si>
    <t>TOTAL 18</t>
  </si>
  <si>
    <t>JUL-SEP 18</t>
  </si>
  <si>
    <t>OCT-DEC 18</t>
  </si>
  <si>
    <t>JAN-MAR 19</t>
  </si>
  <si>
    <t>APR-JUN 19</t>
  </si>
  <si>
    <t>TOTAL 19</t>
  </si>
  <si>
    <t>JUL-SEP 19</t>
  </si>
  <si>
    <t>OCT-DEC 19</t>
  </si>
  <si>
    <t>JAN-MAR 20</t>
  </si>
  <si>
    <t>APR-JUN 20</t>
  </si>
  <si>
    <t>TOTAL 20</t>
  </si>
  <si>
    <t>JUL-SEP-20</t>
  </si>
  <si>
    <t>OCT-DEC 20</t>
  </si>
  <si>
    <t>JAN-MAR 21</t>
  </si>
  <si>
    <t>APR-JUN 21</t>
  </si>
  <si>
    <t>TOTAL 21</t>
  </si>
  <si>
    <t>JUL-SEP-21</t>
  </si>
  <si>
    <t>OCT-DEC 21</t>
  </si>
  <si>
    <t>JAN-MAR 22</t>
  </si>
  <si>
    <t>APR-JUN 22</t>
  </si>
  <si>
    <t>TOTAL 22</t>
  </si>
  <si>
    <t>NPK11370</t>
  </si>
  <si>
    <t>11-37-0</t>
  </si>
  <si>
    <t>NPKAQUA</t>
  </si>
  <si>
    <t>AQUA AMMONIA</t>
  </si>
  <si>
    <t>SO4BORIC</t>
  </si>
  <si>
    <t>BORIC ACID</t>
  </si>
  <si>
    <t>SO4BORON</t>
  </si>
  <si>
    <t>BORON</t>
  </si>
  <si>
    <t>NO3CA</t>
  </si>
  <si>
    <t>CALCIUM NITRATE</t>
  </si>
  <si>
    <t>CHECITRIC</t>
  </si>
  <si>
    <t>CITRIC ACID</t>
  </si>
  <si>
    <t>CHEGLUCO</t>
  </si>
  <si>
    <t>GLUCOHEPTONATE</t>
  </si>
  <si>
    <t>GRPHUMICLIQ</t>
  </si>
  <si>
    <t>HUMIC ACID LIQUID</t>
  </si>
  <si>
    <t>NO3FE</t>
  </si>
  <si>
    <t>IRON NITRATE 10%</t>
  </si>
  <si>
    <t xml:space="preserve">SO4FEDRY19        </t>
  </si>
  <si>
    <t>IRON SULPHATE (Dry)</t>
  </si>
  <si>
    <t>NPKKOHDRY</t>
  </si>
  <si>
    <t>KOH DRY</t>
  </si>
  <si>
    <t xml:space="preserve">NPKKOHLIQ    </t>
  </si>
  <si>
    <t>KOH LIQUID 45%</t>
  </si>
  <si>
    <t>NPKKTS</t>
  </si>
  <si>
    <t>KTS</t>
  </si>
  <si>
    <t>CHELIGLIQ</t>
  </si>
  <si>
    <t>LIGNIN SULFONATE</t>
  </si>
  <si>
    <t>CHELIGDRY</t>
  </si>
  <si>
    <t>SO4MG</t>
  </si>
  <si>
    <t>MAG SULF ANHYDROUS</t>
  </si>
  <si>
    <t>NO3MG60</t>
  </si>
  <si>
    <t>MAG. NITRATE 6.0%</t>
  </si>
  <si>
    <t>NO3MG63</t>
  </si>
  <si>
    <t>MAG. NITRATE 6.3%</t>
  </si>
  <si>
    <t>NO3MN</t>
  </si>
  <si>
    <t>MANGANESE NITRATE</t>
  </si>
  <si>
    <t>SO4MN32</t>
  </si>
  <si>
    <t>MANGANESE SULFATE 32%</t>
  </si>
  <si>
    <t>NPK2800</t>
  </si>
  <si>
    <t>N-SURE</t>
  </si>
  <si>
    <t xml:space="preserve">NPKNPHURCDI     </t>
  </si>
  <si>
    <t>N-PHURIC</t>
  </si>
  <si>
    <t>NPKPHOS75</t>
  </si>
  <si>
    <t>PHOS ACID 75%/85%</t>
  </si>
  <si>
    <t>NPKKCL62</t>
  </si>
  <si>
    <t>POTASS.CLORIDE 62</t>
  </si>
  <si>
    <t>NPKKNO3</t>
  </si>
  <si>
    <t>POTASS.NITRATE13-045</t>
  </si>
  <si>
    <t>NPKU32</t>
  </si>
  <si>
    <t>U-32</t>
  </si>
  <si>
    <t>NPKUREA</t>
  </si>
  <si>
    <t>UREA 46%</t>
  </si>
  <si>
    <t>N/A</t>
  </si>
  <si>
    <t xml:space="preserve">NO3ZN    </t>
  </si>
  <si>
    <t>ZINC NITRATE</t>
  </si>
  <si>
    <t xml:space="preserve">109,080.00
</t>
  </si>
  <si>
    <t xml:space="preserve">SO4ZNSTD     </t>
  </si>
  <si>
    <t>ZINC SULPHATE 35.5%</t>
  </si>
  <si>
    <t>EDTAFEHE</t>
  </si>
  <si>
    <t>IRON HEDTA</t>
  </si>
  <si>
    <t>EDTAACID</t>
  </si>
  <si>
    <t>EDTA ACID DRY</t>
  </si>
  <si>
    <t>EDTAZN</t>
  </si>
  <si>
    <t>ZINC EDTA 9%</t>
  </si>
  <si>
    <t>SO4CU</t>
  </si>
  <si>
    <t>COPPER SULPHATE 25.2%</t>
  </si>
  <si>
    <r>
      <rPr>
        <b/>
        <sz val="9"/>
        <color theme="0"/>
        <rFont val="Arial"/>
        <family val="2"/>
      </rPr>
      <t>GP</t>
    </r>
    <r>
      <rPr>
        <b/>
        <sz val="11"/>
        <color theme="0"/>
        <rFont val="Arial"/>
        <family val="2"/>
      </rPr>
      <t xml:space="preserve"> </t>
    </r>
    <r>
      <rPr>
        <b/>
        <sz val="9"/>
        <color theme="0"/>
        <rFont val="Arial"/>
        <family val="2"/>
      </rPr>
      <t>QTY on Hand as of 7/6/2022</t>
    </r>
  </si>
  <si>
    <t>U of M</t>
  </si>
  <si>
    <t>LBS</t>
  </si>
  <si>
    <t>Month</t>
  </si>
  <si>
    <t>SO4FEDRY19</t>
  </si>
  <si>
    <t>NPKKOHLIQ</t>
  </si>
  <si>
    <t>NPKNPHURCDI</t>
  </si>
  <si>
    <t>NO3ZN</t>
  </si>
  <si>
    <t>SO4ZNSTD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</si>
  <si>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</si>
  <si>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</si>
  <si>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</si>
  <si>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</si>
  <si>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</si>
  <si>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</si>
  <si>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</si>
  <si>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</si>
  <si>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</si>
  <si>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</si>
  <si>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</si>
  <si>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</si>
  <si>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Jul-Sep</t>
  </si>
  <si>
    <t>Oct-Dec</t>
  </si>
  <si>
    <t>Jan-Mar</t>
  </si>
  <si>
    <t>Apr-Jun</t>
  </si>
  <si>
    <t xml:space="preserve">  </t>
  </si>
  <si>
    <t>Year</t>
  </si>
  <si>
    <t>Quarter</t>
  </si>
  <si>
    <t>As of 6/30/23</t>
  </si>
  <si>
    <t>Chemical Dynamics Yearly Product Usage - July to June</t>
  </si>
  <si>
    <t>Chemical Dynamics Quarterly Product Usage</t>
  </si>
  <si>
    <t>JUL-SEP-22</t>
  </si>
  <si>
    <t>OCT-DEC 22</t>
  </si>
  <si>
    <t>JAN-MAR 23</t>
  </si>
  <si>
    <t>APR-JUN 23</t>
  </si>
  <si>
    <t>TOTAL 23</t>
  </si>
  <si>
    <r>
      <rPr>
        <b/>
        <sz val="9"/>
        <color theme="0"/>
        <rFont val="Arial"/>
        <family val="2"/>
      </rPr>
      <t>GP</t>
    </r>
    <r>
      <rPr>
        <b/>
        <sz val="11"/>
        <color theme="0"/>
        <rFont val="Arial"/>
        <family val="2"/>
      </rPr>
      <t xml:space="preserve"> </t>
    </r>
    <r>
      <rPr>
        <b/>
        <sz val="9"/>
        <color theme="0"/>
        <rFont val="Arial"/>
        <family val="2"/>
      </rPr>
      <t>QTY on Hand as of 7/14/2023</t>
    </r>
  </si>
  <si>
    <t>TOTAL 24</t>
  </si>
  <si>
    <t>TOTAL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</si>
</sst>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name val="Calibri"/>
      <family val="2"/>
      <scheme val="minor"/>
    </font>
    <font>
      <sz val="9"/>
      <name val="Segoe UI"/>
      <family val="2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Segoe UI"/>
      <family val="2"/>
    </font>
    <font>
      <b/>
      <sz val="8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b/>
      <sz val="10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rgb="FF00274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005F85"/>
        <bgColor indexed="64"/>
      </patternFill>
    </fill>
    <fill>
      <patternFill patternType="solid">
        <fgColor rgb="FF65656A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>
      <alignment vertical="center"/>
    </xf>
    <xf numFmtId="0" fontId="10" fillId="0" borderId="0">
      <alignment vertical="center"/>
    </xf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2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wrapText="1"/>
    </xf>
    <xf numFmtId="16" fontId="2" fillId="0" borderId="1" xfId="0" applyNumberFormat="1" applyFont="1" applyBorder="1"/>
    <xf numFmtId="16" fontId="2" fillId="2" borderId="1" xfId="0" applyNumberFormat="1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164" fontId="2" fillId="0" borderId="1" xfId="1" applyNumberFormat="1" applyFont="1" applyFill="1" applyBorder="1" applyAlignment="1"/>
    <xf numFmtId="0" fontId="3" fillId="4" borderId="1" xfId="0" applyFont="1" applyFill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3" fontId="4" fillId="5" borderId="4" xfId="0" applyNumberFormat="1" applyFont="1" applyFill="1" applyBorder="1"/>
    <xf numFmtId="0" fontId="4" fillId="5" borderId="5" xfId="0" applyFont="1" applyFill="1" applyBorder="1"/>
    <xf numFmtId="3" fontId="4" fillId="5" borderId="4" xfId="0" applyNumberFormat="1" applyFont="1" applyFill="1" applyBorder="1" applyAlignment="1">
      <alignment wrapText="1"/>
    </xf>
    <xf numFmtId="3" fontId="4" fillId="5" borderId="4" xfId="1" applyNumberFormat="1" applyFont="1" applyFill="1" applyBorder="1" applyAlignment="1"/>
    <xf numFmtId="3" fontId="4" fillId="5" borderId="0" xfId="0" applyNumberFormat="1" applyFont="1" applyFill="1"/>
    <xf numFmtId="3" fontId="5" fillId="5" borderId="4" xfId="1" applyNumberFormat="1" applyFont="1" applyFill="1" applyBorder="1" applyAlignment="1"/>
    <xf numFmtId="3" fontId="5" fillId="5" borderId="4" xfId="0" applyNumberFormat="1" applyFont="1" applyFill="1" applyBorder="1"/>
    <xf numFmtId="3" fontId="4" fillId="6" borderId="0" xfId="1" applyNumberFormat="1" applyFont="1" applyFill="1" applyAlignment="1"/>
    <xf numFmtId="3" fontId="6" fillId="6" borderId="4" xfId="2" applyNumberFormat="1" applyFont="1" applyFill="1" applyBorder="1"/>
    <xf numFmtId="3" fontId="4" fillId="6" borderId="4" xfId="0" applyNumberFormat="1" applyFont="1" applyFill="1" applyBorder="1" applyAlignment="1">
      <alignment vertical="center"/>
    </xf>
    <xf numFmtId="3" fontId="5" fillId="6" borderId="0" xfId="0" applyNumberFormat="1" applyFont="1" applyFill="1" applyAlignment="1">
      <alignment vertical="center"/>
    </xf>
    <xf numFmtId="3" fontId="4" fillId="6" borderId="4" xfId="0" applyNumberFormat="1" applyFont="1" applyFill="1" applyBorder="1"/>
    <xf numFmtId="3" fontId="4" fillId="6" borderId="6" xfId="1" applyNumberFormat="1" applyFont="1" applyFill="1" applyBorder="1" applyAlignment="1"/>
    <xf numFmtId="3" fontId="5" fillId="6" borderId="4" xfId="0" applyNumberFormat="1" applyFont="1" applyFill="1" applyBorder="1" applyAlignment="1">
      <alignment vertical="center"/>
    </xf>
    <xf numFmtId="3" fontId="4" fillId="0" borderId="4" xfId="1" applyNumberFormat="1" applyFont="1" applyFill="1" applyBorder="1" applyAlignment="1"/>
    <xf numFmtId="0" fontId="4" fillId="0" borderId="4" xfId="0" applyFont="1" applyBorder="1"/>
    <xf numFmtId="0" fontId="4" fillId="0" borderId="5" xfId="0" applyFont="1" applyBorder="1"/>
    <xf numFmtId="3" fontId="4" fillId="0" borderId="4" xfId="0" applyNumberFormat="1" applyFont="1" applyBorder="1" applyAlignment="1">
      <alignment wrapText="1"/>
    </xf>
    <xf numFmtId="3" fontId="4" fillId="0" borderId="4" xfId="0" applyNumberFormat="1" applyFont="1" applyBorder="1"/>
    <xf numFmtId="3" fontId="4" fillId="2" borderId="4" xfId="0" applyNumberFormat="1" applyFont="1" applyFill="1" applyBorder="1"/>
    <xf numFmtId="3" fontId="4" fillId="2" borderId="4" xfId="1" applyNumberFormat="1" applyFont="1" applyFill="1" applyBorder="1" applyAlignment="1"/>
    <xf numFmtId="3" fontId="5" fillId="3" borderId="4" xfId="1" applyNumberFormat="1" applyFont="1" applyFill="1" applyBorder="1" applyAlignment="1"/>
    <xf numFmtId="3" fontId="5" fillId="4" borderId="4" xfId="1" applyNumberFormat="1" applyFont="1" applyFill="1" applyBorder="1" applyAlignment="1"/>
    <xf numFmtId="3" fontId="5" fillId="4" borderId="4" xfId="0" applyNumberFormat="1" applyFont="1" applyFill="1" applyBorder="1"/>
    <xf numFmtId="3" fontId="4" fillId="4" borderId="4" xfId="1" applyNumberFormat="1" applyFont="1" applyFill="1" applyBorder="1" applyAlignment="1"/>
    <xf numFmtId="3" fontId="4" fillId="4" borderId="4" xfId="0" applyNumberFormat="1" applyFont="1" applyFill="1" applyBorder="1"/>
    <xf numFmtId="3" fontId="6" fillId="0" borderId="4" xfId="2" applyNumberFormat="1" applyFont="1" applyBorder="1"/>
    <xf numFmtId="3" fontId="6" fillId="0" borderId="4" xfId="1" applyNumberFormat="1" applyFont="1" applyBorder="1" applyAlignment="1"/>
    <xf numFmtId="3" fontId="6" fillId="0" borderId="6" xfId="2" applyNumberFormat="1" applyFont="1" applyBorder="1"/>
    <xf numFmtId="3" fontId="6" fillId="0" borderId="7" xfId="0" applyNumberFormat="1" applyFont="1" applyBorder="1"/>
    <xf numFmtId="3" fontId="4" fillId="5" borderId="5" xfId="0" applyNumberFormat="1" applyFont="1" applyFill="1" applyBorder="1"/>
    <xf numFmtId="3" fontId="6" fillId="7" borderId="4" xfId="2" applyNumberFormat="1" applyFont="1" applyFill="1" applyBorder="1"/>
    <xf numFmtId="3" fontId="4" fillId="7" borderId="4" xfId="0" applyNumberFormat="1" applyFont="1" applyFill="1" applyBorder="1"/>
    <xf numFmtId="164" fontId="4" fillId="0" borderId="0" xfId="1" applyNumberFormat="1" applyFont="1" applyAlignment="1"/>
    <xf numFmtId="164" fontId="4" fillId="0" borderId="0" xfId="1" applyNumberFormat="1" applyFont="1" applyAlignment="1">
      <alignment vertical="center"/>
    </xf>
    <xf numFmtId="164" fontId="5" fillId="4" borderId="4" xfId="1" applyNumberFormat="1" applyFont="1" applyFill="1" applyBorder="1" applyAlignment="1"/>
    <xf numFmtId="164" fontId="5" fillId="6" borderId="4" xfId="1" applyNumberFormat="1" applyFont="1" applyFill="1" applyBorder="1" applyAlignment="1">
      <alignment vertical="center"/>
    </xf>
    <xf numFmtId="164" fontId="4" fillId="0" borderId="4" xfId="1" applyNumberFormat="1" applyFont="1" applyFill="1" applyBorder="1" applyAlignment="1"/>
    <xf numFmtId="164" fontId="4" fillId="0" borderId="5" xfId="1" applyNumberFormat="1" applyFont="1" applyFill="1" applyBorder="1" applyAlignment="1"/>
    <xf numFmtId="164" fontId="4" fillId="0" borderId="4" xfId="1" applyNumberFormat="1" applyFont="1" applyFill="1" applyBorder="1" applyAlignment="1">
      <alignment wrapText="1"/>
    </xf>
    <xf numFmtId="164" fontId="4" fillId="2" borderId="4" xfId="1" applyNumberFormat="1" applyFont="1" applyFill="1" applyBorder="1" applyAlignment="1"/>
    <xf numFmtId="164" fontId="5" fillId="3" borderId="4" xfId="1" applyNumberFormat="1" applyFont="1" applyFill="1" applyBorder="1" applyAlignment="1"/>
    <xf numFmtId="164" fontId="4" fillId="4" borderId="4" xfId="1" applyNumberFormat="1" applyFont="1" applyFill="1" applyBorder="1" applyAlignment="1"/>
    <xf numFmtId="164" fontId="6" fillId="0" borderId="4" xfId="1" applyNumberFormat="1" applyFont="1" applyBorder="1" applyAlignment="1"/>
    <xf numFmtId="164" fontId="4" fillId="0" borderId="4" xfId="1" applyNumberFormat="1" applyFont="1" applyBorder="1"/>
    <xf numFmtId="164" fontId="6" fillId="0" borderId="6" xfId="1" applyNumberFormat="1" applyFont="1" applyFill="1" applyBorder="1" applyAlignment="1"/>
    <xf numFmtId="164" fontId="6" fillId="0" borderId="7" xfId="1" applyNumberFormat="1" applyFont="1" applyBorder="1"/>
    <xf numFmtId="164" fontId="4" fillId="5" borderId="4" xfId="1" applyNumberFormat="1" applyFont="1" applyFill="1" applyBorder="1" applyAlignment="1"/>
    <xf numFmtId="164" fontId="4" fillId="5" borderId="5" xfId="1" applyNumberFormat="1" applyFont="1" applyFill="1" applyBorder="1" applyAlignment="1"/>
    <xf numFmtId="164" fontId="4" fillId="5" borderId="4" xfId="1" applyNumberFormat="1" applyFont="1" applyFill="1" applyBorder="1" applyAlignment="1">
      <alignment wrapText="1"/>
    </xf>
    <xf numFmtId="164" fontId="5" fillId="5" borderId="4" xfId="1" applyNumberFormat="1" applyFont="1" applyFill="1" applyBorder="1" applyAlignment="1"/>
    <xf numFmtId="164" fontId="6" fillId="8" borderId="4" xfId="1" applyNumberFormat="1" applyFont="1" applyFill="1" applyBorder="1" applyAlignment="1"/>
    <xf numFmtId="164" fontId="4" fillId="8" borderId="4" xfId="1" applyNumberFormat="1" applyFont="1" applyFill="1" applyBorder="1" applyAlignment="1"/>
    <xf numFmtId="164" fontId="6" fillId="6" borderId="4" xfId="1" applyNumberFormat="1" applyFont="1" applyFill="1" applyBorder="1" applyAlignment="1"/>
    <xf numFmtId="164" fontId="4" fillId="6" borderId="4" xfId="1" applyNumberFormat="1" applyFont="1" applyFill="1" applyBorder="1"/>
    <xf numFmtId="164" fontId="4" fillId="6" borderId="6" xfId="1" applyNumberFormat="1" applyFont="1" applyFill="1" applyBorder="1" applyAlignment="1"/>
    <xf numFmtId="164" fontId="7" fillId="0" borderId="4" xfId="1" applyNumberFormat="1" applyFont="1" applyFill="1" applyBorder="1" applyAlignment="1"/>
    <xf numFmtId="164" fontId="4" fillId="5" borderId="6" xfId="1" applyNumberFormat="1" applyFont="1" applyFill="1" applyBorder="1" applyAlignment="1"/>
    <xf numFmtId="164" fontId="4" fillId="0" borderId="6" xfId="1" applyNumberFormat="1" applyFont="1" applyFill="1" applyBorder="1" applyAlignment="1"/>
    <xf numFmtId="164" fontId="11" fillId="13" borderId="4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 applyAlignment="1">
      <alignment horizontal="center" vertical="center"/>
    </xf>
    <xf numFmtId="164" fontId="5" fillId="6" borderId="6" xfId="1" applyNumberFormat="1" applyFont="1" applyFill="1" applyBorder="1" applyAlignment="1">
      <alignment vertical="center"/>
    </xf>
    <xf numFmtId="16" fontId="2" fillId="0" borderId="13" xfId="0" applyNumberFormat="1" applyFont="1" applyBorder="1"/>
    <xf numFmtId="0" fontId="2" fillId="0" borderId="13" xfId="0" applyFont="1" applyBorder="1"/>
    <xf numFmtId="164" fontId="4" fillId="0" borderId="6" xfId="1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4" fontId="5" fillId="4" borderId="6" xfId="1" applyNumberFormat="1" applyFont="1" applyFill="1" applyBorder="1" applyAlignment="1"/>
    <xf numFmtId="164" fontId="4" fillId="0" borderId="3" xfId="1" applyNumberFormat="1" applyFont="1" applyFill="1" applyBorder="1" applyAlignment="1">
      <alignment horizontal="center" vertical="center"/>
    </xf>
    <xf numFmtId="164" fontId="4" fillId="5" borderId="16" xfId="1" applyNumberFormat="1" applyFont="1" applyFill="1" applyBorder="1" applyAlignment="1"/>
    <xf numFmtId="3" fontId="4" fillId="5" borderId="16" xfId="1" applyNumberFormat="1" applyFont="1" applyFill="1" applyBorder="1" applyAlignment="1"/>
    <xf numFmtId="3" fontId="5" fillId="4" borderId="16" xfId="1" applyNumberFormat="1" applyFont="1" applyFill="1" applyBorder="1" applyAlignment="1"/>
    <xf numFmtId="3" fontId="4" fillId="6" borderId="16" xfId="1" applyNumberFormat="1" applyFont="1" applyFill="1" applyBorder="1" applyAlignment="1"/>
    <xf numFmtId="3" fontId="4" fillId="6" borderId="15" xfId="1" applyNumberFormat="1" applyFont="1" applyFill="1" applyBorder="1" applyAlignment="1"/>
    <xf numFmtId="164" fontId="4" fillId="5" borderId="15" xfId="1" applyNumberFormat="1" applyFont="1" applyFill="1" applyBorder="1" applyAlignment="1"/>
    <xf numFmtId="164" fontId="4" fillId="0" borderId="0" xfId="1" applyNumberFormat="1" applyFont="1" applyBorder="1" applyAlignment="1">
      <alignment vertical="center"/>
    </xf>
    <xf numFmtId="164" fontId="0" fillId="0" borderId="1" xfId="5" applyNumberFormat="1" applyFont="1" applyBorder="1"/>
    <xf numFmtId="164" fontId="6" fillId="0" borderId="12" xfId="1" applyNumberFormat="1" applyFont="1" applyBorder="1" applyAlignment="1">
      <alignment horizontal="center"/>
    </xf>
    <xf numFmtId="3" fontId="6" fillId="0" borderId="12" xfId="1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6" fillId="0" borderId="7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6" fillId="0" borderId="12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14" fillId="6" borderId="3" xfId="1" applyNumberFormat="1" applyFont="1" applyFill="1" applyBorder="1" applyAlignment="1">
      <alignment horizontal="center" vertical="center"/>
    </xf>
    <xf numFmtId="164" fontId="14" fillId="6" borderId="6" xfId="1" applyNumberFormat="1" applyFont="1" applyFill="1" applyBorder="1" applyAlignment="1">
      <alignment horizontal="center" vertical="center"/>
    </xf>
    <xf numFmtId="164" fontId="14" fillId="6" borderId="7" xfId="1" applyNumberFormat="1" applyFont="1" applyFill="1" applyBorder="1" applyAlignment="1">
      <alignment horizontal="center" vertical="center"/>
    </xf>
    <xf numFmtId="164" fontId="0" fillId="0" borderId="0" xfId="5" applyNumberFormat="1" applyFont="1"/>
    <xf numFmtId="0" fontId="1" fillId="0" borderId="0" xfId="2"/>
    <xf numFmtId="165" fontId="9" fillId="9" borderId="8" xfId="5" applyNumberFormat="1" applyFont="1" applyFill="1" applyBorder="1" applyAlignment="1">
      <alignment horizontal="center" wrapText="1"/>
    </xf>
    <xf numFmtId="164" fontId="0" fillId="0" borderId="8" xfId="5" applyNumberFormat="1" applyFont="1" applyBorder="1"/>
    <xf numFmtId="164" fontId="0" fillId="0" borderId="8" xfId="5" applyNumberFormat="1" applyFont="1" applyBorder="1" applyAlignment="1">
      <alignment horizontal="center"/>
    </xf>
    <xf numFmtId="165" fontId="9" fillId="9" borderId="4" xfId="5" applyNumberFormat="1" applyFont="1" applyFill="1" applyBorder="1" applyAlignment="1">
      <alignment horizontal="center" wrapText="1"/>
    </xf>
    <xf numFmtId="164" fontId="0" fillId="0" borderId="4" xfId="5" applyNumberFormat="1" applyFont="1" applyBorder="1"/>
    <xf numFmtId="164" fontId="0" fillId="0" borderId="4" xfId="5" applyNumberFormat="1" applyFont="1" applyBorder="1" applyAlignment="1">
      <alignment horizontal="center"/>
    </xf>
    <xf numFmtId="165" fontId="9" fillId="9" borderId="11" xfId="5" applyNumberFormat="1" applyFont="1" applyFill="1" applyBorder="1" applyAlignment="1">
      <alignment horizontal="center" wrapText="1"/>
    </xf>
    <xf numFmtId="164" fontId="0" fillId="0" borderId="11" xfId="5" applyNumberFormat="1" applyFont="1" applyBorder="1"/>
    <xf numFmtId="164" fontId="0" fillId="0" borderId="11" xfId="5" applyNumberFormat="1" applyFont="1" applyBorder="1" applyAlignment="1">
      <alignment horizontal="center"/>
    </xf>
    <xf numFmtId="165" fontId="9" fillId="12" borderId="8" xfId="5" applyNumberFormat="1" applyFont="1" applyFill="1" applyBorder="1" applyAlignment="1">
      <alignment horizontal="center" wrapText="1"/>
    </xf>
    <xf numFmtId="165" fontId="9" fillId="12" borderId="4" xfId="5" applyNumberFormat="1" applyFont="1" applyFill="1" applyBorder="1" applyAlignment="1">
      <alignment horizontal="center" wrapText="1"/>
    </xf>
    <xf numFmtId="165" fontId="9" fillId="12" borderId="11" xfId="5" applyNumberFormat="1" applyFont="1" applyFill="1" applyBorder="1" applyAlignment="1">
      <alignment horizontal="center" wrapText="1"/>
    </xf>
    <xf numFmtId="165" fontId="9" fillId="11" borderId="8" xfId="5" applyNumberFormat="1" applyFont="1" applyFill="1" applyBorder="1" applyAlignment="1">
      <alignment horizontal="center" wrapText="1"/>
    </xf>
    <xf numFmtId="165" fontId="9" fillId="11" borderId="4" xfId="5" applyNumberFormat="1" applyFont="1" applyFill="1" applyBorder="1" applyAlignment="1">
      <alignment horizontal="center" wrapText="1"/>
    </xf>
    <xf numFmtId="165" fontId="9" fillId="11" borderId="11" xfId="5" applyNumberFormat="1" applyFont="1" applyFill="1" applyBorder="1" applyAlignment="1">
      <alignment horizontal="center" wrapText="1"/>
    </xf>
    <xf numFmtId="165" fontId="9" fillId="10" borderId="8" xfId="5" applyNumberFormat="1" applyFont="1" applyFill="1" applyBorder="1" applyAlignment="1">
      <alignment horizontal="center" wrapText="1"/>
    </xf>
    <xf numFmtId="165" fontId="9" fillId="10" borderId="4" xfId="5" applyNumberFormat="1" applyFont="1" applyFill="1" applyBorder="1" applyAlignment="1">
      <alignment horizontal="center" wrapText="1"/>
    </xf>
    <xf numFmtId="164" fontId="0" fillId="0" borderId="1" xfId="5" applyNumberFormat="1" applyFont="1" applyBorder="1" applyAlignment="1">
      <alignment horizontal="center"/>
    </xf>
    <xf numFmtId="165" fontId="9" fillId="10" borderId="1" xfId="5" applyNumberFormat="1" applyFont="1" applyFill="1" applyBorder="1" applyAlignment="1">
      <alignment horizontal="center" wrapText="1"/>
    </xf>
    <xf numFmtId="0" fontId="1" fillId="15" borderId="0" xfId="2" applyFill="1"/>
    <xf numFmtId="164" fontId="0" fillId="15" borderId="10" xfId="5" applyNumberFormat="1" applyFont="1" applyFill="1" applyBorder="1"/>
    <xf numFmtId="164" fontId="0" fillId="15" borderId="10" xfId="5" applyNumberFormat="1" applyFont="1" applyFill="1" applyBorder="1" applyAlignment="1">
      <alignment horizontal="center"/>
    </xf>
    <xf numFmtId="164" fontId="0" fillId="15" borderId="8" xfId="5" applyNumberFormat="1" applyFont="1" applyFill="1" applyBorder="1"/>
    <xf numFmtId="164" fontId="9" fillId="9" borderId="8" xfId="5" applyNumberFormat="1" applyFont="1" applyFill="1" applyBorder="1" applyAlignment="1">
      <alignment horizontal="center" wrapText="1"/>
    </xf>
    <xf numFmtId="164" fontId="9" fillId="12" borderId="4" xfId="5" applyNumberFormat="1" applyFont="1" applyFill="1" applyBorder="1" applyAlignment="1">
      <alignment horizontal="center" wrapText="1"/>
    </xf>
    <xf numFmtId="164" fontId="9" fillId="11" borderId="4" xfId="5" applyNumberFormat="1" applyFont="1" applyFill="1" applyBorder="1" applyAlignment="1">
      <alignment horizontal="center" wrapText="1"/>
    </xf>
    <xf numFmtId="164" fontId="9" fillId="10" borderId="1" xfId="5" applyNumberFormat="1" applyFont="1" applyFill="1" applyBorder="1" applyAlignment="1">
      <alignment horizontal="center" wrapText="1"/>
    </xf>
    <xf numFmtId="164" fontId="0" fillId="14" borderId="10" xfId="5" applyNumberFormat="1" applyFont="1" applyFill="1" applyBorder="1"/>
    <xf numFmtId="164" fontId="0" fillId="14" borderId="9" xfId="5" applyNumberFormat="1" applyFont="1" applyFill="1" applyBorder="1"/>
    <xf numFmtId="164" fontId="0" fillId="0" borderId="8" xfId="5" applyNumberFormat="1" applyFont="1" applyBorder="1" applyAlignment="1">
      <alignment vertical="center"/>
    </xf>
    <xf numFmtId="164" fontId="0" fillId="15" borderId="8" xfId="5" applyNumberFormat="1" applyFont="1" applyFill="1" applyBorder="1" applyAlignment="1">
      <alignment vertical="center"/>
    </xf>
    <xf numFmtId="164" fontId="13" fillId="0" borderId="8" xfId="5" applyNumberFormat="1" applyFont="1" applyBorder="1" applyAlignment="1">
      <alignment vertical="center"/>
    </xf>
    <xf numFmtId="164" fontId="0" fillId="0" borderId="4" xfId="5" applyNumberFormat="1" applyFont="1" applyBorder="1" applyAlignment="1">
      <alignment vertical="center"/>
    </xf>
    <xf numFmtId="164" fontId="13" fillId="0" borderId="4" xfId="5" applyNumberFormat="1" applyFont="1" applyBorder="1" applyAlignment="1">
      <alignment vertical="center"/>
    </xf>
    <xf numFmtId="164" fontId="9" fillId="9" borderId="4" xfId="5" applyNumberFormat="1" applyFont="1" applyFill="1" applyBorder="1" applyAlignment="1">
      <alignment horizontal="center" wrapText="1"/>
    </xf>
    <xf numFmtId="164" fontId="0" fillId="0" borderId="1" xfId="5" applyNumberFormat="1" applyFont="1" applyBorder="1" applyAlignment="1">
      <alignment vertical="center"/>
    </xf>
    <xf numFmtId="164" fontId="9" fillId="9" borderId="1" xfId="5" applyNumberFormat="1" applyFont="1" applyFill="1" applyBorder="1" applyAlignment="1">
      <alignment horizontal="center" wrapText="1"/>
    </xf>
    <xf numFmtId="164" fontId="9" fillId="12" borderId="8" xfId="5" applyNumberFormat="1" applyFont="1" applyFill="1" applyBorder="1" applyAlignment="1">
      <alignment horizontal="center" wrapText="1"/>
    </xf>
    <xf numFmtId="164" fontId="9" fillId="12" borderId="1" xfId="5" applyNumberFormat="1" applyFont="1" applyFill="1" applyBorder="1" applyAlignment="1">
      <alignment horizontal="center" wrapText="1"/>
    </xf>
    <xf numFmtId="164" fontId="9" fillId="11" borderId="8" xfId="5" applyNumberFormat="1" applyFont="1" applyFill="1" applyBorder="1" applyAlignment="1">
      <alignment horizontal="center" wrapText="1"/>
    </xf>
    <xf numFmtId="164" fontId="0" fillId="0" borderId="13" xfId="5" applyNumberFormat="1" applyFont="1" applyBorder="1" applyAlignment="1">
      <alignment vertical="center"/>
    </xf>
    <xf numFmtId="164" fontId="9" fillId="11" borderId="1" xfId="5" applyNumberFormat="1" applyFont="1" applyFill="1" applyBorder="1" applyAlignment="1">
      <alignment horizontal="center" wrapText="1"/>
    </xf>
    <xf numFmtId="164" fontId="9" fillId="10" borderId="8" xfId="5" applyNumberFormat="1" applyFont="1" applyFill="1" applyBorder="1" applyAlignment="1">
      <alignment horizontal="center" wrapText="1"/>
    </xf>
    <xf numFmtId="164" fontId="9" fillId="10" borderId="4" xfId="5" applyNumberFormat="1" applyFont="1" applyFill="1" applyBorder="1" applyAlignment="1">
      <alignment horizontal="center" wrapText="1"/>
    </xf>
    <xf numFmtId="164" fontId="11" fillId="13" borderId="4" xfId="5" applyNumberFormat="1" applyFont="1" applyFill="1" applyBorder="1" applyAlignment="1">
      <alignment horizontal="center"/>
    </xf>
    <xf numFmtId="164" fontId="12" fillId="13" borderId="4" xfId="5" applyNumberFormat="1" applyFont="1" applyFill="1" applyBorder="1" applyAlignment="1">
      <alignment horizontal="center"/>
    </xf>
    <xf numFmtId="164" fontId="11" fillId="13" borderId="4" xfId="5" applyNumberFormat="1" applyFont="1" applyFill="1" applyBorder="1"/>
    <xf numFmtId="164" fontId="12" fillId="13" borderId="4" xfId="5" applyNumberFormat="1" applyFont="1" applyFill="1" applyBorder="1" applyAlignment="1">
      <alignment horizontal="center" vertical="center"/>
    </xf>
    <xf numFmtId="0" fontId="9" fillId="0" borderId="0" xfId="3">
      <alignment vertical="center"/>
    </xf>
    <xf numFmtId="164" fontId="0" fillId="0" borderId="8" xfId="6" applyNumberFormat="1" applyFont="1" applyBorder="1"/>
    <xf numFmtId="164" fontId="0" fillId="0" borderId="4" xfId="6" applyNumberFormat="1" applyFont="1" applyBorder="1"/>
    <xf numFmtId="164" fontId="0" fillId="0" borderId="1" xfId="6" applyNumberFormat="1" applyFont="1" applyBorder="1"/>
    <xf numFmtId="164" fontId="1" fillId="0" borderId="0" xfId="2" applyNumberFormat="1"/>
    <xf numFmtId="43" fontId="0" fillId="0" borderId="8" xfId="5" applyFont="1" applyBorder="1"/>
    <xf numFmtId="43" fontId="0" fillId="0" borderId="4" xfId="5" applyFont="1" applyBorder="1"/>
    <xf numFmtId="43" fontId="0" fillId="0" borderId="1" xfId="5" applyFont="1" applyBorder="1"/>
    <xf numFmtId="43" fontId="0" fillId="14" borderId="10" xfId="5" applyFont="1" applyFill="1" applyBorder="1"/>
    <xf numFmtId="164" fontId="0" fillId="0" borderId="17" xfId="5" applyNumberFormat="1" applyFont="1" applyBorder="1"/>
    <xf numFmtId="164" fontId="0" fillId="0" borderId="6" xfId="5" applyNumberFormat="1" applyFont="1" applyBorder="1"/>
    <xf numFmtId="164" fontId="0" fillId="0" borderId="3" xfId="5" applyNumberFormat="1" applyFont="1" applyBorder="1"/>
    <xf numFmtId="164" fontId="0" fillId="0" borderId="0" xfId="6" applyNumberFormat="1" applyFont="1" applyAlignment="1">
      <alignment vertical="center"/>
    </xf>
    <xf numFmtId="164" fontId="4" fillId="0" borderId="14" xfId="1" applyNumberFormat="1" applyFont="1" applyBorder="1" applyAlignment="1">
      <alignment vertical="center"/>
    </xf>
    <xf numFmtId="3" fontId="6" fillId="0" borderId="5" xfId="0" applyNumberFormat="1" applyFont="1" applyBorder="1" applyAlignment="1">
      <alignment horizontal="center"/>
    </xf>
    <xf numFmtId="3" fontId="5" fillId="4" borderId="15" xfId="1" applyNumberFormat="1" applyFont="1" applyFill="1" applyBorder="1" applyAlignment="1"/>
    <xf numFmtId="164" fontId="4" fillId="0" borderId="3" xfId="1" applyNumberFormat="1" applyFont="1" applyBorder="1" applyAlignment="1">
      <alignment vertical="center"/>
    </xf>
    <xf numFmtId="164" fontId="0" fillId="0" borderId="0" xfId="5" applyNumberFormat="1" applyFont="1" applyBorder="1"/>
    <xf numFmtId="0" fontId="0" fillId="0" borderId="0" xfId="0" applyAlignment="1">
      <alignment vertical="center"/>
    </xf>
    <xf numFmtId="164" fontId="14" fillId="4" borderId="7" xfId="1" applyNumberFormat="1" applyFont="1" applyFill="1" applyBorder="1" applyAlignment="1">
      <alignment horizontal="center" vertical="center"/>
    </xf>
    <xf numFmtId="164" fontId="14" fillId="4" borderId="3" xfId="1" applyNumberFormat="1" applyFont="1" applyFill="1" applyBorder="1" applyAlignment="1">
      <alignment horizontal="center" vertical="center"/>
    </xf>
    <xf numFmtId="164" fontId="14" fillId="4" borderId="1" xfId="1" applyNumberFormat="1" applyFont="1" applyFill="1" applyBorder="1" applyAlignment="1">
      <alignment horizontal="center" vertical="center"/>
    </xf>
    <xf numFmtId="164" fontId="14" fillId="4" borderId="6" xfId="1" applyNumberFormat="1" applyFont="1" applyFill="1" applyBorder="1" applyAlignment="1">
      <alignment horizontal="center" vertical="center"/>
    </xf>
    <xf numFmtId="16" fontId="3" fillId="16" borderId="16" xfId="0" applyNumberFormat="1" applyFont="1" applyFill="1" applyBorder="1"/>
    <xf numFmtId="0" fontId="3" fillId="17" borderId="13" xfId="0" applyFont="1" applyFill="1" applyBorder="1"/>
    <xf numFmtId="164" fontId="0" fillId="0" borderId="1" xfId="1" applyNumberFormat="1" applyFont="1" applyBorder="1"/>
    <xf numFmtId="164" fontId="0" fillId="0" borderId="4" xfId="1" applyNumberFormat="1" applyFont="1" applyBorder="1"/>
    <xf numFmtId="164" fontId="0" fillId="0" borderId="8" xfId="1" applyNumberFormat="1" applyFont="1" applyBorder="1"/>
    <xf numFmtId="164" fontId="0" fillId="0" borderId="0" xfId="1" applyNumberFormat="1" applyFont="1" applyAlignment="1">
      <alignment vertical="center"/>
    </xf>
    <xf numFmtId="164" fontId="0" fillId="14" borderId="10" xfId="1" applyNumberFormat="1" applyFont="1" applyFill="1" applyBorder="1"/>
    <xf numFmtId="164" fontId="9" fillId="0" borderId="0" xfId="1" applyNumberFormat="1" applyFont="1" applyAlignment="1">
      <alignment vertical="center"/>
    </xf>
    <xf numFmtId="164" fontId="1" fillId="0" borderId="0" xfId="1" applyNumberFormat="1"/>
    <xf numFmtId="0" fontId="3" fillId="4" borderId="4" xfId="0" applyFont="1" applyFill="1" applyBorder="1"/>
    <xf numFmtId="164" fontId="0" fillId="0" borderId="1" xfId="5" applyNumberFormat="1" applyFont="1" applyFill="1" applyBorder="1"/>
    <xf numFmtId="3" fontId="6" fillId="0" borderId="12" xfId="1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Alignment="1">
      <alignment horizontal="center" vertical="center"/>
    </xf>
    <xf numFmtId="164" fontId="6" fillId="0" borderId="12" xfId="1" applyNumberFormat="1" applyFont="1" applyFill="1" applyBorder="1" applyAlignment="1">
      <alignment horizontal="center" vertical="center"/>
    </xf>
    <xf numFmtId="164" fontId="4" fillId="0" borderId="7" xfId="1" applyNumberFormat="1" applyFont="1" applyFill="1" applyBorder="1" applyAlignment="1">
      <alignment horizontal="center" vertical="center"/>
    </xf>
    <xf numFmtId="164" fontId="6" fillId="0" borderId="3" xfId="1" applyNumberFormat="1" applyFont="1" applyFill="1" applyBorder="1" applyAlignment="1">
      <alignment horizontal="center" vertical="center"/>
    </xf>
    <xf numFmtId="164" fontId="14" fillId="8" borderId="6" xfId="1" applyNumberFormat="1" applyFont="1" applyFill="1" applyBorder="1" applyAlignment="1">
      <alignment horizontal="center" vertical="center"/>
    </xf>
    <xf numFmtId="164" fontId="14" fillId="8" borderId="7" xfId="1" applyNumberFormat="1" applyFont="1" applyFill="1" applyBorder="1" applyAlignment="1">
      <alignment horizontal="center" vertical="center"/>
    </xf>
    <xf numFmtId="164" fontId="14" fillId="8" borderId="3" xfId="1" applyNumberFormat="1" applyFont="1" applyFill="1" applyBorder="1" applyAlignment="1">
      <alignment horizontal="center" vertical="center"/>
    </xf>
    <xf numFmtId="164" fontId="4" fillId="0" borderId="16" xfId="1" applyNumberFormat="1" applyFont="1" applyFill="1" applyBorder="1" applyAlignment="1"/>
    <xf numFmtId="0" fontId="16" fillId="17" borderId="1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20" fillId="0" borderId="0" xfId="0" applyFont="1"/>
    <xf numFmtId="3" fontId="21" fillId="0" borderId="0" xfId="0" applyNumberFormat="1" applyFont="1" applyFill="1" applyBorder="1"/>
    <xf numFmtId="0" fontId="21" fillId="0" borderId="0" xfId="0" applyFont="1" applyFill="1" applyBorder="1"/>
    <xf numFmtId="164" fontId="21" fillId="0" borderId="0" xfId="1" applyNumberFormat="1" applyFont="1" applyFill="1" applyBorder="1" applyAlignment="1"/>
    <xf numFmtId="0" fontId="18" fillId="0" borderId="18" xfId="0" applyFont="1" applyBorder="1"/>
    <xf numFmtId="0" fontId="19" fillId="0" borderId="18" xfId="0" applyFont="1" applyBorder="1"/>
    <xf numFmtId="0" fontId="22" fillId="18" borderId="19" xfId="0" applyFont="1" applyFill="1" applyBorder="1" applyAlignment="1">
      <alignment horizontal="centerContinuous"/>
    </xf>
    <xf numFmtId="14" fontId="18" fillId="19" borderId="19" xfId="0" applyNumberFormat="1" applyFont="1" applyFill="1" applyBorder="1" applyAlignment="1">
      <alignment horizontal="center"/>
    </xf>
    <xf numFmtId="0" fontId="18" fillId="19" borderId="19" xfId="0" applyFont="1" applyFill="1" applyBorder="1" applyAlignment="1">
      <alignment horizontal="center"/>
    </xf>
    <xf numFmtId="0" fontId="22" fillId="20" borderId="19" xfId="0" applyFont="1" applyFill="1" applyBorder="1" applyAlignment="1">
      <alignment horizontal="centerContinuous"/>
    </xf>
    <xf numFmtId="3" fontId="19" fillId="0" borderId="0" xfId="0" applyNumberFormat="1" applyFont="1"/>
    <xf numFmtId="0" fontId="22" fillId="21" borderId="19" xfId="0" applyFont="1" applyFill="1" applyBorder="1" applyAlignment="1">
      <alignment horizontal="centerContinuous"/>
    </xf>
    <xf numFmtId="0" fontId="22" fillId="18" borderId="19" xfId="0" applyFont="1" applyFill="1" applyBorder="1" applyAlignment="1">
      <alignment horizontal="center"/>
    </xf>
    <xf numFmtId="0" fontId="22" fillId="22" borderId="19" xfId="0" applyFont="1" applyFill="1" applyBorder="1" applyAlignment="1">
      <alignment horizontal="centerContinuous"/>
    </xf>
    <xf numFmtId="14" fontId="22" fillId="21" borderId="19" xfId="0" applyNumberFormat="1" applyFont="1" applyFill="1" applyBorder="1" applyAlignment="1">
      <alignment horizontal="center"/>
    </xf>
    <xf numFmtId="0" fontId="22" fillId="21" borderId="19" xfId="0" applyFont="1" applyFill="1" applyBorder="1" applyAlignment="1">
      <alignment horizontal="center"/>
    </xf>
    <xf numFmtId="0" fontId="16" fillId="17" borderId="13" xfId="0" applyFont="1" applyFill="1" applyBorder="1" applyAlignment="1">
      <alignment horizontal="center" vertical="center"/>
    </xf>
    <xf numFmtId="0" fontId="23" fillId="0" borderId="4" xfId="0" applyFont="1" applyBorder="1"/>
    <xf numFmtId="3" fontId="23" fillId="0" borderId="4" xfId="0" applyNumberFormat="1" applyFont="1" applyBorder="1"/>
    <xf numFmtId="3" fontId="23" fillId="0" borderId="4" xfId="0" applyNumberFormat="1" applyFont="1" applyBorder="1" applyAlignment="1">
      <alignment vertical="center"/>
    </xf>
    <xf numFmtId="3" fontId="6" fillId="0" borderId="12" xfId="0" applyNumberFormat="1" applyFont="1" applyFill="1" applyBorder="1" applyAlignment="1">
      <alignment horizontal="center"/>
    </xf>
    <xf numFmtId="164" fontId="4" fillId="0" borderId="0" xfId="1" applyNumberFormat="1" applyFont="1" applyFill="1" applyAlignment="1">
      <alignment vertical="center"/>
    </xf>
  </cellXfs>
  <cellStyles count="7">
    <cellStyle name="Comma" xfId="1" builtinId="3"/>
    <cellStyle name="Comma 2" xfId="5" xr:uid="{32432F8D-5AA7-4354-9D76-D49EE93B3D71}"/>
    <cellStyle name="Comma 3" xfId="6" xr:uid="{C925B112-D9B9-44A3-BF9A-9DE1A344B957}"/>
    <cellStyle name="Normal" xfId="0" builtinId="0"/>
    <cellStyle name="Normal 2" xfId="2" xr:uid="{00000000-0005-0000-0000-000002000000}"/>
    <cellStyle name="Normal 3" xfId="3" xr:uid="{DE4C57DF-1E5C-4655-BAB7-59FA814BAA35}"/>
    <cellStyle name="Normal 4" xfId="4" xr:uid="{DD10E38A-6F00-4F09-BE2D-CB000982C2E0}"/>
  </cellStyles>
  <dxfs count="103">
    <dxf>
      <font>
        <b/>
        <strike val="0"/>
        <outline val="0"/>
        <shadow val="0"/>
        <u val="none"/>
        <vertAlign val="baseline"/>
        <sz val="8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center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66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66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66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8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66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66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66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66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>
        <left style="thin">
          <color indexed="64"/>
        </left>
        <right style="thin">
          <color indexed="64"/>
        </right>
      </border>
    </dxf>
    <dxf>
      <numFmt numFmtId="3" formatCode="#,##0"/>
      <border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8E8E8"/>
        </patternFill>
      </fill>
    </dxf>
    <dxf>
      <fill>
        <patternFill>
          <bgColor rgb="FFE8E8E8"/>
        </patternFill>
      </fill>
    </dxf>
  </dxfs>
  <tableStyles count="0" defaultTableStyle="TableStyleMedium2" defaultPivotStyle="PivotStyleLight16"/>
  <colors>
    <mruColors>
      <color rgb="FF65656A"/>
      <color rgb="FFB0B0B0"/>
      <color rgb="FFE8E8E8"/>
      <color rgb="FFF2F2F2"/>
      <color rgb="FF00274C"/>
      <color rgb="FF005F85"/>
      <color rgb="FFE0E0E0"/>
      <color rgb="FFC0C0C0"/>
      <color rgb="FF66FFFF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F30" totalsRowShown="0" headerRowDxfId="100" headerRowBorderDxfId="99" tableBorderDxfId="98">
  <tableColumns count="110">
    <tableColumn id="2" xr3:uid="{00000000-0010-0000-0000-000002000000}" name="Item #" dataDxfId="97"/>
    <tableColumn id="1" xr3:uid="{00000000-0010-0000-0000-000001000000}" name="Product" dataDxfId="96"/>
    <tableColumn id="3" xr3:uid="{00000000-0010-0000-0000-000003000000}" name="Landed Cost;          Current 4/2008" dataDxfId="95"/>
    <tableColumn id="4" xr3:uid="{00000000-0010-0000-0000-000004000000}" name="Price /lb" dataDxfId="94">
      <calculatedColumnFormula>C2/2000</calculatedColumnFormula>
    </tableColumn>
    <tableColumn id="5" xr3:uid="{00000000-0010-0000-0000-000005000000}" name="OCT -SEPT 00" dataDxfId="93"/>
    <tableColumn id="6" xr3:uid="{00000000-0010-0000-0000-000006000000}" name="OCT-MAR 01" dataDxfId="92"/>
    <tableColumn id="7" xr3:uid="{00000000-0010-0000-0000-000007000000}" name="APR -SEPT 01" dataDxfId="91"/>
    <tableColumn id="8" xr3:uid="{00000000-0010-0000-0000-000008000000}" name="Total 01" dataDxfId="90">
      <calculatedColumnFormula>SUM(F2:G2)</calculatedColumnFormula>
    </tableColumn>
    <tableColumn id="9" xr3:uid="{00000000-0010-0000-0000-000009000000}" name="OCT01-MAR02" dataDxfId="89">
      <calculatedColumnFormula>J2+K2</calculatedColumnFormula>
    </tableColumn>
    <tableColumn id="10" xr3:uid="{00000000-0010-0000-0000-00000A000000}" name="OCT01-MAR022" dataDxfId="88"/>
    <tableColumn id="11" xr3:uid="{00000000-0010-0000-0000-00000B000000}" name="JAN-MAR 02" dataDxfId="87"/>
    <tableColumn id="12" xr3:uid="{00000000-0010-0000-0000-00000C000000}" name="APR02-SEPT02" dataDxfId="86">
      <calculatedColumnFormula>M2+N2</calculatedColumnFormula>
    </tableColumn>
    <tableColumn id="13" xr3:uid="{00000000-0010-0000-0000-00000D000000}" name="APR-JUN 02" dataDxfId="85"/>
    <tableColumn id="14" xr3:uid="{00000000-0010-0000-0000-00000E000000}" name="JUL-SEPT 02" dataDxfId="84"/>
    <tableColumn id="15" xr3:uid="{00000000-0010-0000-0000-00000F000000}" name="TOTAL 02" dataDxfId="83">
      <calculatedColumnFormula>SUM(J2:N2)</calculatedColumnFormula>
    </tableColumn>
    <tableColumn id="16" xr3:uid="{00000000-0010-0000-0000-000010000000}" name="OCT-DEC 02" dataDxfId="82"/>
    <tableColumn id="17" xr3:uid="{00000000-0010-0000-0000-000011000000}" name="JAN-MAR 03" dataDxfId="81"/>
    <tableColumn id="18" xr3:uid="{00000000-0010-0000-0000-000012000000}" name="APR-JUN 03" dataDxfId="80"/>
    <tableColumn id="19" xr3:uid="{00000000-0010-0000-0000-000013000000}" name="JUL-SEPT" dataDxfId="79"/>
    <tableColumn id="20" xr3:uid="{00000000-0010-0000-0000-000014000000}" name="TOTAL 03" dataDxfId="78">
      <calculatedColumnFormula>SUM(P2:S2)</calculatedColumnFormula>
    </tableColumn>
    <tableColumn id="21" xr3:uid="{00000000-0010-0000-0000-000015000000}" name="OCT-DEC03" dataDxfId="77"/>
    <tableColumn id="22" xr3:uid="{00000000-0010-0000-0000-000016000000}" name="JAN-MAR04" dataDxfId="76"/>
    <tableColumn id="23" xr3:uid="{00000000-0010-0000-0000-000017000000}" name="APR-JUN04" dataDxfId="75"/>
    <tableColumn id="24" xr3:uid="{00000000-0010-0000-0000-000018000000}" name="JUL-SEPT04" dataDxfId="74"/>
    <tableColumn id="25" xr3:uid="{00000000-0010-0000-0000-000019000000}" name="TOTAL 04" dataDxfId="73">
      <calculatedColumnFormula>SUM(U2:X2)</calculatedColumnFormula>
    </tableColumn>
    <tableColumn id="26" xr3:uid="{00000000-0010-0000-0000-00001A000000}" name="OCT-DEC04" dataDxfId="72"/>
    <tableColumn id="27" xr3:uid="{00000000-0010-0000-0000-00001B000000}" name="JAN-MAR05" dataDxfId="71"/>
    <tableColumn id="28" xr3:uid="{00000000-0010-0000-0000-00001C000000}" name="APR-JUNE05" dataDxfId="70"/>
    <tableColumn id="29" xr3:uid="{00000000-0010-0000-0000-00001D000000}" name="JULY-SEPT05" dataDxfId="69"/>
    <tableColumn id="30" xr3:uid="{00000000-0010-0000-0000-00001E000000}" name="TOTAL 05" dataDxfId="68">
      <calculatedColumnFormula>Z2+AA2+AB2+AC2</calculatedColumnFormula>
    </tableColumn>
    <tableColumn id="31" xr3:uid="{00000000-0010-0000-0000-00001F000000}" name="OCT-DEC05" dataDxfId="67"/>
    <tableColumn id="32" xr3:uid="{00000000-0010-0000-0000-000020000000}" name="JAN-MAR06" dataDxfId="66"/>
    <tableColumn id="33" xr3:uid="{00000000-0010-0000-0000-000021000000}" name="APR-JUN06" dataDxfId="65"/>
    <tableColumn id="34" xr3:uid="{00000000-0010-0000-0000-000022000000}" name="JUL-SEP06" dataDxfId="64"/>
    <tableColumn id="35" xr3:uid="{00000000-0010-0000-0000-000023000000}" name="TOTAL 06" dataDxfId="63">
      <calculatedColumnFormula>SUM(AE2:AH2)</calculatedColumnFormula>
    </tableColumn>
    <tableColumn id="36" xr3:uid="{00000000-0010-0000-0000-000024000000}" name="OCT-DEC06" dataDxfId="62"/>
    <tableColumn id="37" xr3:uid="{00000000-0010-0000-0000-000025000000}" name="JAN-MAR07" dataDxfId="61"/>
    <tableColumn id="38" xr3:uid="{00000000-0010-0000-0000-000026000000}" name="APR-JUN07" dataDxfId="60"/>
    <tableColumn id="39" xr3:uid="{00000000-0010-0000-0000-000027000000}" name="JUL-SEP07" dataDxfId="59"/>
    <tableColumn id="40" xr3:uid="{00000000-0010-0000-0000-000028000000}" name="TOTAL  07" dataDxfId="58">
      <calculatedColumnFormula>SUM(AJ2:AM2)</calculatedColumnFormula>
    </tableColumn>
    <tableColumn id="41" xr3:uid="{00000000-0010-0000-0000-000029000000}" name="OCT-DEC07" dataDxfId="57"/>
    <tableColumn id="42" xr3:uid="{00000000-0010-0000-0000-00002A000000}" name="JAN-MAR08" dataDxfId="56"/>
    <tableColumn id="43" xr3:uid="{00000000-0010-0000-0000-00002B000000}" name="APR-JUN08" dataDxfId="55"/>
    <tableColumn id="44" xr3:uid="{00000000-0010-0000-0000-00002C000000}" name="JUL-SEP08" dataDxfId="54"/>
    <tableColumn id="45" xr3:uid="{00000000-0010-0000-0000-00002D000000}" name="TOTAL  08" dataDxfId="53">
      <calculatedColumnFormula>SUM(AO2:AR2)</calculatedColumnFormula>
    </tableColumn>
    <tableColumn id="46" xr3:uid="{00000000-0010-0000-0000-00002E000000}" name="OCT-DEC08" dataDxfId="52"/>
    <tableColumn id="47" xr3:uid="{00000000-0010-0000-0000-00002F000000}" name="JAN-MAR09" dataDxfId="51"/>
    <tableColumn id="48" xr3:uid="{00000000-0010-0000-0000-000030000000}" name="APR-JUN09" dataDxfId="50"/>
    <tableColumn id="49" xr3:uid="{00000000-0010-0000-0000-000031000000}" name="JUL-SEP09" dataDxfId="49"/>
    <tableColumn id="50" xr3:uid="{00000000-0010-0000-0000-000032000000}" name="TOTAL  09" dataDxfId="48">
      <calculatedColumnFormula>SUM(AT2:AW2)</calculatedColumnFormula>
    </tableColumn>
    <tableColumn id="51" xr3:uid="{00000000-0010-0000-0000-000033000000}" name="OCT-DEC09" dataDxfId="47"/>
    <tableColumn id="52" xr3:uid="{00000000-0010-0000-0000-000034000000}" name="JAN-MAR10" dataDxfId="46"/>
    <tableColumn id="53" xr3:uid="{00000000-0010-0000-0000-000035000000}" name="APR-JUN10" dataDxfId="45"/>
    <tableColumn id="54" xr3:uid="{00000000-0010-0000-0000-000036000000}" name="JUL-SEP10" dataDxfId="44"/>
    <tableColumn id="55" xr3:uid="{00000000-0010-0000-0000-000037000000}" name="TOTAL 10" dataDxfId="43">
      <calculatedColumnFormula>SUM(AY2:BB2)</calculatedColumnFormula>
    </tableColumn>
    <tableColumn id="56" xr3:uid="{00000000-0010-0000-0000-000038000000}" name="OCT-DEC 10" dataDxfId="42"/>
    <tableColumn id="57" xr3:uid="{00000000-0010-0000-0000-000039000000}" name="JAN-MAR 11" dataDxfId="41"/>
    <tableColumn id="58" xr3:uid="{00000000-0010-0000-0000-00003A000000}" name="APR-JUN 11" dataDxfId="40"/>
    <tableColumn id="59" xr3:uid="{00000000-0010-0000-0000-00003B000000}" name="JUL-SEP11" dataDxfId="39"/>
    <tableColumn id="60" xr3:uid="{00000000-0010-0000-0000-00003C000000}" name="TOTAL 11" dataDxfId="38">
      <calculatedColumnFormula>SUM(BD2:BG2)</calculatedColumnFormula>
    </tableColumn>
    <tableColumn id="61" xr3:uid="{00000000-0010-0000-0000-00003D000000}" name="OCT-DEC 11" dataDxfId="37"/>
    <tableColumn id="62" xr3:uid="{00000000-0010-0000-0000-00003E000000}" name="JAN-MAR 12" dataDxfId="36"/>
    <tableColumn id="63" xr3:uid="{00000000-0010-0000-0000-00003F000000}" name="APR-JUN 12" dataDxfId="35"/>
    <tableColumn id="64" xr3:uid="{00000000-0010-0000-0000-000040000000}" name="JUL-SEP12" dataDxfId="34"/>
    <tableColumn id="65" xr3:uid="{00000000-0010-0000-0000-000041000000}" name="TOTAL 12" dataDxfId="33">
      <calculatedColumnFormula>SUM(BI2:BL2)</calculatedColumnFormula>
    </tableColumn>
    <tableColumn id="66" xr3:uid="{00000000-0010-0000-0000-000042000000}" name="FY13 HALF" dataDxfId="32">
      <calculatedColumnFormula>SUM(BO2:BP2)</calculatedColumnFormula>
    </tableColumn>
    <tableColumn id="67" xr3:uid="{00000000-0010-0000-0000-000043000000}" name="OCT-DEC 12" dataDxfId="31"/>
    <tableColumn id="68" xr3:uid="{00000000-0010-0000-0000-000044000000}" name="JAN-MAR 13" dataDxfId="30"/>
    <tableColumn id="69" xr3:uid="{00000000-0010-0000-0000-000045000000}" name="APR-JUN 13" dataDxfId="29"/>
    <tableColumn id="70" xr3:uid="{00000000-0010-0000-0000-000046000000}" name="JUL-SEP13" dataDxfId="28"/>
    <tableColumn id="71" xr3:uid="{00000000-0010-0000-0000-000047000000}" name="TOTAL 13" dataDxfId="27">
      <calculatedColumnFormula>SUM(BO2:BR2)</calculatedColumnFormula>
    </tableColumn>
    <tableColumn id="72" xr3:uid="{00000000-0010-0000-0000-000048000000}" name="OCT-DEC 13" dataDxfId="26" dataCellStyle="Comma"/>
    <tableColumn id="73" xr3:uid="{00000000-0010-0000-0000-000049000000}" name="JAN-MAR 14" dataDxfId="25"/>
    <tableColumn id="74" xr3:uid="{00000000-0010-0000-0000-00004A000000}" name="APR-JUN 14" dataDxfId="24" dataCellStyle="Comma"/>
    <tableColumn id="75" xr3:uid="{00000000-0010-0000-0000-00004B000000}" name="TOTAL 14" dataDxfId="23">
      <calculatedColumnFormula>SUM(BR2:BV2)</calculatedColumnFormula>
    </tableColumn>
    <tableColumn id="76" xr3:uid="{00000000-0010-0000-0000-00004C000000}" name="JUL-SEP 14" dataDxfId="22" dataCellStyle="Comma"/>
    <tableColumn id="77" xr3:uid="{00000000-0010-0000-0000-00004D000000}" name="OCT-DEC 14" dataDxfId="21" dataCellStyle="Comma"/>
    <tableColumn id="78" xr3:uid="{00000000-0010-0000-0000-00004E000000}" name="JAN-MAR 15" dataDxfId="20"/>
    <tableColumn id="79" xr3:uid="{00000000-0010-0000-0000-00004F000000}" name="APR-JUN 15" dataDxfId="19" dataCellStyle="Comma"/>
    <tableColumn id="80" xr3:uid="{00000000-0010-0000-0000-000050000000}" name="TOTAL 15" dataDxfId="18">
      <calculatedColumnFormula>SUM(BX2:CA2)</calculatedColumnFormula>
    </tableColumn>
    <tableColumn id="81" xr3:uid="{00000000-0010-0000-0000-000051000000}" name="JUL-SEP 15" dataDxfId="17" dataCellStyle="Comma"/>
    <tableColumn id="82" xr3:uid="{00000000-0010-0000-0000-000052000000}" name="OCT-DEC 15" dataDxfId="16" dataCellStyle="Comma"/>
    <tableColumn id="83" xr3:uid="{00000000-0010-0000-0000-000053000000}" name="JAN-MAR 16" dataDxfId="15"/>
    <tableColumn id="84" xr3:uid="{00000000-0010-0000-0000-000054000000}" name="APR-JUN 16" dataDxfId="14"/>
    <tableColumn id="85" xr3:uid="{00000000-0010-0000-0000-000055000000}" name="TOTAL 16" dataDxfId="13">
      <calculatedColumnFormula>SUM(CC2:CF2)</calculatedColumnFormula>
    </tableColumn>
    <tableColumn id="86" xr3:uid="{00000000-0010-0000-0000-000056000000}" name="JUL-SEP 16" dataDxfId="12"/>
    <tableColumn id="87" xr3:uid="{00000000-0010-0000-0000-000057000000}" name="OCT-DEC 16" dataDxfId="11" dataCellStyle="Comma"/>
    <tableColumn id="88" xr3:uid="{00000000-0010-0000-0000-000058000000}" name="JAN-MAR 17" dataDxfId="10"/>
    <tableColumn id="89" xr3:uid="{00000000-0010-0000-0000-000059000000}" name="APR-JUN 17"/>
    <tableColumn id="90" xr3:uid="{00000000-0010-0000-0000-00005A000000}" name="TOTAL 17" dataDxfId="9" dataCellStyle="Comma">
      <calculatedColumnFormula>SUM(CH2:CK2)</calculatedColumnFormula>
    </tableColumn>
    <tableColumn id="91" xr3:uid="{00000000-0010-0000-0000-00005B000000}" name="JUL-SEP 17" dataDxfId="8" dataCellStyle="Comma"/>
    <tableColumn id="92" xr3:uid="{7AFA6D1D-5F0D-4529-B8AC-BDDFBCCE69B1}" name="OCT-DEC 17"/>
    <tableColumn id="93" xr3:uid="{B0DA4AEC-28B5-4020-9AD2-3E9905616168}" name="JAN-MAR 18"/>
    <tableColumn id="94" xr3:uid="{7365F231-2E2A-48D4-A36A-D1621AD17AAF}" name="APR-JUN 18"/>
    <tableColumn id="95" xr3:uid="{77E2BC46-1A0E-4BBD-A25F-CCA08966E591}" name="TOTAL 18" dataDxfId="7">
      <calculatedColumnFormula>SUM(CM2:CP2)</calculatedColumnFormula>
    </tableColumn>
    <tableColumn id="96" xr3:uid="{F7354545-9CF5-4313-B755-AA9F286982A2}" name="JUL-SEP 18"/>
    <tableColumn id="97" xr3:uid="{F30C039F-2659-412C-8EEE-F4F7E04C85F9}" name="OCT-DEC 18"/>
    <tableColumn id="98" xr3:uid="{E92D7CAA-06A6-470C-86DA-C1884FB0F9F5}" name="JAN-MAR 19"/>
    <tableColumn id="99" xr3:uid="{4AC18DA4-0E20-4458-941B-32BA7AAEDA05}" name="APR-JUN 19"/>
    <tableColumn id="101" xr3:uid="{A298F79E-1911-459F-AFE5-E4FD03978B65}" name="TOTAL 19" dataDxfId="6">
      <calculatedColumnFormula>SUM(CR2:CU2)</calculatedColumnFormula>
    </tableColumn>
    <tableColumn id="102" xr3:uid="{3260EFD9-BB74-4020-BA67-F06D2B3D268F}" name="JUL-SEP 19"/>
    <tableColumn id="103" xr3:uid="{CCE828B1-740D-4F54-AB52-711A73721404}" name="OCT-DEC 19"/>
    <tableColumn id="104" xr3:uid="{DC00C227-8C9E-4580-BCB8-47E34E9E1217}" name="JAN-MAR 20"/>
    <tableColumn id="105" xr3:uid="{BAB29CCD-1958-4D45-982E-49DDF21E1166}" name="APR-JUN 20"/>
    <tableColumn id="106" xr3:uid="{3C20A0B6-F629-426B-823C-A765A92B3DDD}" name="TOTAL 20" dataDxfId="5">
      <calculatedColumnFormula>SUM(CW2:CZ2)</calculatedColumnFormula>
    </tableColumn>
    <tableColumn id="107" xr3:uid="{6C86E8CF-863E-4D57-9A55-CC71499E3975}" name="JUL-SEP-20" dataDxfId="4"/>
    <tableColumn id="100" xr3:uid="{F2031D02-BF5C-4B4E-AC0C-6EE8FE7DB378}" name="OCT-DEC 20" dataDxfId="3"/>
    <tableColumn id="108" xr3:uid="{214973E7-265F-42AD-AB51-358767AF5859}" name="JAN-MAR 21" dataDxfId="2"/>
    <tableColumn id="109" xr3:uid="{1FA2E671-5CC5-4EFC-850D-B4B4BF2CC29A}" name="APR-JUN 21" dataDxfId="1"/>
    <tableColumn id="110" xr3:uid="{2B6B9AC4-C84E-4FFA-B41A-1B6DE417D6CD}" name="TOTAL 21" dataDxfId="0" dataCellStyle="Comma">
      <calculatedColumnFormula>SUM(Table1[[#This Row],[JUL-SEP-20]:[APR-JUN 21]])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23EA-C390-49F4-A494-277171DBBFD5}">
  <sheetPr>
    <pageSetUpPr fitToPage="1"/>
  </sheetPr>
  <dimension ref="B1:M37"/>
  <sheetViews>
    <sheetView view="pageBreakPreview" zoomScale="60" zoomScaleNormal="100" workbookViewId="0">
      <selection activeCell="A27" sqref="A27:XFD27"/>
    </sheetView>
  </sheetViews>
  <sheetFormatPr defaultRowHeight="13.5" outlineLevelCol="1" x14ac:dyDescent="0.25"/>
  <cols>
    <col min="1" max="1" width="9.140625" style="204"/>
    <col min="2" max="2" width="15.7109375" style="204" customWidth="1"/>
    <col min="3" max="3" width="25.7109375" style="204" customWidth="1"/>
    <col min="4" max="13" width="12.7109375" style="204" customWidth="1" outlineLevel="1"/>
    <col min="14" max="16384" width="9.140625" style="204"/>
  </cols>
  <sheetData>
    <row r="1" spans="2:13" ht="15" x14ac:dyDescent="0.25">
      <c r="C1" t="s">
        <v>208</v>
      </c>
      <c r="D1">
        <v>14</v>
      </c>
      <c r="E1">
        <f>D1+1</f>
        <v>15</v>
      </c>
      <c r="F1">
        <f t="shared" ref="F1:M1" si="0">E1+1</f>
        <v>16</v>
      </c>
      <c r="G1">
        <f t="shared" si="0"/>
        <v>17</v>
      </c>
      <c r="H1">
        <f t="shared" si="0"/>
        <v>18</v>
      </c>
      <c r="I1">
        <f t="shared" si="0"/>
        <v>19</v>
      </c>
      <c r="J1">
        <f t="shared" si="0"/>
        <v>20</v>
      </c>
      <c r="K1">
        <f t="shared" si="0"/>
        <v>21</v>
      </c>
      <c r="L1">
        <f t="shared" si="0"/>
        <v>22</v>
      </c>
      <c r="M1">
        <f t="shared" si="0"/>
        <v>23</v>
      </c>
    </row>
    <row r="3" spans="2:13" ht="14.25" thickBot="1" x14ac:dyDescent="0.3">
      <c r="B3" s="209" t="s">
        <v>211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2:13" ht="14.25" thickBot="1" x14ac:dyDescent="0.3">
      <c r="B4" s="205" t="s">
        <v>210</v>
      </c>
    </row>
    <row r="5" spans="2:13" ht="14.25" thickBot="1" x14ac:dyDescent="0.3">
      <c r="D5" s="217">
        <v>2014</v>
      </c>
      <c r="E5" s="217">
        <f>D5+1</f>
        <v>2015</v>
      </c>
      <c r="F5" s="217">
        <f t="shared" ref="F5:M5" si="1">E5+1</f>
        <v>2016</v>
      </c>
      <c r="G5" s="217">
        <f t="shared" si="1"/>
        <v>2017</v>
      </c>
      <c r="H5" s="217">
        <f t="shared" si="1"/>
        <v>2018</v>
      </c>
      <c r="I5" s="217">
        <f t="shared" si="1"/>
        <v>2019</v>
      </c>
      <c r="J5" s="217">
        <f t="shared" si="1"/>
        <v>2020</v>
      </c>
      <c r="K5" s="217">
        <f t="shared" si="1"/>
        <v>2021</v>
      </c>
      <c r="L5" s="217">
        <f t="shared" si="1"/>
        <v>2022</v>
      </c>
      <c r="M5" s="217">
        <f t="shared" si="1"/>
        <v>2023</v>
      </c>
    </row>
    <row r="6" spans="2:13" x14ac:dyDescent="0.25">
      <c r="B6" s="206" t="s">
        <v>115</v>
      </c>
      <c r="C6" s="207" t="s">
        <v>116</v>
      </c>
      <c r="D6" s="215">
        <f>SUMIFS('FY13-23 Full Data'!$AL5:$FA5,'FY13-23 Full Data'!$AL$2:$FA$2,'New Yearly Report'!D$1)</f>
        <v>92659.06985</v>
      </c>
      <c r="E6" s="215">
        <f>SUMIFS('FY13-23 Full Data'!$AL5:$FA5,'FY13-23 Full Data'!$AL$2:$FA$2,'New Yearly Report'!E$1)</f>
        <v>76904.30965000001</v>
      </c>
      <c r="F6" s="215">
        <f>SUMIFS('FY13-23 Full Data'!$AL5:$FA5,'FY13-23 Full Data'!$AL$2:$FA$2,'New Yearly Report'!F$1)</f>
        <v>158327.9687</v>
      </c>
      <c r="G6" s="215">
        <f>SUMIFS('FY13-23 Full Data'!$AL5:$FA5,'FY13-23 Full Data'!$AL$2:$FA$2,'New Yearly Report'!G$1)</f>
        <v>389019.67677999998</v>
      </c>
      <c r="H6" s="215">
        <f>SUMIFS('FY13-23 Full Data'!$AL5:$FA5,'FY13-23 Full Data'!$AL$2:$FA$2,'New Yearly Report'!H$1)</f>
        <v>401495.13387999998</v>
      </c>
      <c r="I6" s="215">
        <f>SUMIFS('FY13-23 Full Data'!$AL5:$FA5,'FY13-23 Full Data'!$AL$2:$FA$2,'New Yearly Report'!I$1)</f>
        <v>104796.48800000001</v>
      </c>
      <c r="J6" s="215">
        <f>SUMIFS('FY13-23 Full Data'!$AL5:$FA5,'FY13-23 Full Data'!$AL$2:$FA$2,'New Yearly Report'!J$1)</f>
        <v>284376.41220000002</v>
      </c>
      <c r="K6" s="215">
        <f>SUMIFS('FY13-23 Full Data'!$AL5:$FA5,'FY13-23 Full Data'!$AL$2:$FA$2,'New Yearly Report'!K$1)</f>
        <v>666211.03917</v>
      </c>
      <c r="L6" s="215">
        <f>SUMIFS('FY13-23 Full Data'!$AL5:$FA5,'FY13-23 Full Data'!$AL$2:$FA$2,'New Yearly Report'!L$1)</f>
        <v>691155.8139999999</v>
      </c>
      <c r="M6" s="215">
        <f>SUMIFS('FY13-23 Full Data'!$AL5:$FA5,'FY13-23 Full Data'!$AL$2:$FA$2,'New Yearly Report'!M$1)</f>
        <v>461843</v>
      </c>
    </row>
    <row r="7" spans="2:13" x14ac:dyDescent="0.25">
      <c r="B7" s="207" t="s">
        <v>117</v>
      </c>
      <c r="C7" s="207" t="s">
        <v>118</v>
      </c>
      <c r="D7" s="215">
        <f>SUMIFS('FY13-23 Full Data'!$AL6:$FA6,'FY13-23 Full Data'!$AL$2:$FA$2,'New Yearly Report'!D$1)</f>
        <v>72576.909299999985</v>
      </c>
      <c r="E7" s="215">
        <f>SUMIFS('FY13-23 Full Data'!$AL6:$FA6,'FY13-23 Full Data'!$AL$2:$FA$2,'New Yearly Report'!E$1)</f>
        <v>55592.802539999997</v>
      </c>
      <c r="F7" s="215">
        <f>SUMIFS('FY13-23 Full Data'!$AL6:$FA6,'FY13-23 Full Data'!$AL$2:$FA$2,'New Yearly Report'!F$1)</f>
        <v>91074.046389999989</v>
      </c>
      <c r="G7" s="215">
        <f>SUMIFS('FY13-23 Full Data'!$AL6:$FA6,'FY13-23 Full Data'!$AL$2:$FA$2,'New Yearly Report'!G$1)</f>
        <v>67881.40542000001</v>
      </c>
      <c r="H7" s="215">
        <f>SUMIFS('FY13-23 Full Data'!$AL6:$FA6,'FY13-23 Full Data'!$AL$2:$FA$2,'New Yearly Report'!H$1)</f>
        <v>75611.445240000001</v>
      </c>
      <c r="I7" s="215">
        <f>SUMIFS('FY13-23 Full Data'!$AL6:$FA6,'FY13-23 Full Data'!$AL$2:$FA$2,'New Yearly Report'!I$1)</f>
        <v>35883.304980000001</v>
      </c>
      <c r="J7" s="215">
        <f>SUMIFS('FY13-23 Full Data'!$AL6:$FA6,'FY13-23 Full Data'!$AL$2:$FA$2,'New Yearly Report'!J$1)</f>
        <v>53816.599520000003</v>
      </c>
      <c r="K7" s="215">
        <f>SUMIFS('FY13-23 Full Data'!$AL6:$FA6,'FY13-23 Full Data'!$AL$2:$FA$2,'New Yearly Report'!K$1)</f>
        <v>97235.371060000019</v>
      </c>
      <c r="L7" s="215">
        <f>SUMIFS('FY13-23 Full Data'!$AL6:$FA6,'FY13-23 Full Data'!$AL$2:$FA$2,'New Yearly Report'!L$1)</f>
        <v>68416.4185</v>
      </c>
      <c r="M7" s="215">
        <f>SUMIFS('FY13-23 Full Data'!$AL6:$FA6,'FY13-23 Full Data'!$AL$2:$FA$2,'New Yearly Report'!M$1)</f>
        <v>54206</v>
      </c>
    </row>
    <row r="8" spans="2:13" x14ac:dyDescent="0.25">
      <c r="B8" s="206" t="s">
        <v>119</v>
      </c>
      <c r="C8" s="207" t="s">
        <v>120</v>
      </c>
      <c r="D8" s="215">
        <f>SUMIFS('FY13-23 Full Data'!$AL7:$FA7,'FY13-23 Full Data'!$AL$2:$FA$2,'New Yearly Report'!D$1)</f>
        <v>-1836.1303000000025</v>
      </c>
      <c r="E8" s="215">
        <f>SUMIFS('FY13-23 Full Data'!$AL7:$FA7,'FY13-23 Full Data'!$AL$2:$FA$2,'New Yearly Report'!E$1)</f>
        <v>171724.24295000001</v>
      </c>
      <c r="F8" s="215">
        <f>SUMIFS('FY13-23 Full Data'!$AL7:$FA7,'FY13-23 Full Data'!$AL$2:$FA$2,'New Yearly Report'!F$1)</f>
        <v>139590.6784</v>
      </c>
      <c r="G8" s="215">
        <f>SUMIFS('FY13-23 Full Data'!$AL7:$FA7,'FY13-23 Full Data'!$AL$2:$FA$2,'New Yearly Report'!G$1)</f>
        <v>170758.8579</v>
      </c>
      <c r="H8" s="215">
        <f>SUMIFS('FY13-23 Full Data'!$AL7:$FA7,'FY13-23 Full Data'!$AL$2:$FA$2,'New Yearly Report'!H$1)</f>
        <v>250223.67345</v>
      </c>
      <c r="I8" s="215">
        <f>SUMIFS('FY13-23 Full Data'!$AL7:$FA7,'FY13-23 Full Data'!$AL$2:$FA$2,'New Yearly Report'!I$1)</f>
        <v>331849.17675000004</v>
      </c>
      <c r="J8" s="215">
        <f>SUMIFS('FY13-23 Full Data'!$AL7:$FA7,'FY13-23 Full Data'!$AL$2:$FA$2,'New Yearly Report'!J$1)</f>
        <v>360876.66870000004</v>
      </c>
      <c r="K8" s="215">
        <f>SUMIFS('FY13-23 Full Data'!$AL7:$FA7,'FY13-23 Full Data'!$AL$2:$FA$2,'New Yearly Report'!K$1)</f>
        <v>401241.39179000008</v>
      </c>
      <c r="L8" s="215">
        <f>SUMIFS('FY13-23 Full Data'!$AL7:$FA7,'FY13-23 Full Data'!$AL$2:$FA$2,'New Yearly Report'!L$1)</f>
        <v>305606.67</v>
      </c>
      <c r="M8" s="215">
        <f>SUMIFS('FY13-23 Full Data'!$AL7:$FA7,'FY13-23 Full Data'!$AL$2:$FA$2,'New Yearly Report'!M$1)</f>
        <v>239360</v>
      </c>
    </row>
    <row r="9" spans="2:13" x14ac:dyDescent="0.25">
      <c r="B9" s="207" t="s">
        <v>121</v>
      </c>
      <c r="C9" s="207" t="s">
        <v>122</v>
      </c>
      <c r="D9" s="215">
        <f>SUMIFS('FY13-23 Full Data'!$AL8:$FA8,'FY13-23 Full Data'!$AL$2:$FA$2,'New Yearly Report'!D$1)</f>
        <v>86042.358699999997</v>
      </c>
      <c r="E9" s="215">
        <f>SUMIFS('FY13-23 Full Data'!$AL8:$FA8,'FY13-23 Full Data'!$AL$2:$FA$2,'New Yearly Report'!E$1)</f>
        <v>61987.828449999994</v>
      </c>
      <c r="F9" s="215">
        <f>SUMIFS('FY13-23 Full Data'!$AL8:$FA8,'FY13-23 Full Data'!$AL$2:$FA$2,'New Yearly Report'!F$1)</f>
        <v>72184.506250000006</v>
      </c>
      <c r="G9" s="215">
        <f>SUMIFS('FY13-23 Full Data'!$AL8:$FA8,'FY13-23 Full Data'!$AL$2:$FA$2,'New Yearly Report'!G$1)</f>
        <v>66974.603820000004</v>
      </c>
      <c r="H9" s="215">
        <f>SUMIFS('FY13-23 Full Data'!$AL8:$FA8,'FY13-23 Full Data'!$AL$2:$FA$2,'New Yearly Report'!H$1)</f>
        <v>55696.429650000013</v>
      </c>
      <c r="I9" s="215">
        <f>SUMIFS('FY13-23 Full Data'!$AL8:$FA8,'FY13-23 Full Data'!$AL$2:$FA$2,'New Yearly Report'!I$1)</f>
        <v>58330.506939999992</v>
      </c>
      <c r="J9" s="215">
        <f>SUMIFS('FY13-23 Full Data'!$AL8:$FA8,'FY13-23 Full Data'!$AL$2:$FA$2,'New Yearly Report'!J$1)</f>
        <v>49117.987749999986</v>
      </c>
      <c r="K9" s="215">
        <f>SUMIFS('FY13-23 Full Data'!$AL8:$FA8,'FY13-23 Full Data'!$AL$2:$FA$2,'New Yearly Report'!K$1)</f>
        <v>53263.926619999998</v>
      </c>
      <c r="L9" s="215">
        <f>SUMIFS('FY13-23 Full Data'!$AL8:$FA8,'FY13-23 Full Data'!$AL$2:$FA$2,'New Yearly Report'!L$1)</f>
        <v>44590.929999999993</v>
      </c>
      <c r="M9" s="215">
        <f>SUMIFS('FY13-23 Full Data'!$AL8:$FA8,'FY13-23 Full Data'!$AL$2:$FA$2,'New Yearly Report'!M$1)</f>
        <v>41476</v>
      </c>
    </row>
    <row r="10" spans="2:13" x14ac:dyDescent="0.25">
      <c r="B10" s="206" t="s">
        <v>123</v>
      </c>
      <c r="C10" s="206" t="s">
        <v>124</v>
      </c>
      <c r="D10" s="215">
        <f>SUMIFS('FY13-23 Full Data'!$AL9:$FA9,'FY13-23 Full Data'!$AL$2:$FA$2,'New Yearly Report'!D$1)</f>
        <v>4919733.8344099987</v>
      </c>
      <c r="E10" s="215">
        <f>SUMIFS('FY13-23 Full Data'!$AL9:$FA9,'FY13-23 Full Data'!$AL$2:$FA$2,'New Yearly Report'!E$1)</f>
        <v>3613483.2052699993</v>
      </c>
      <c r="F10" s="215">
        <f>SUMIFS('FY13-23 Full Data'!$AL9:$FA9,'FY13-23 Full Data'!$AL$2:$FA$2,'New Yearly Report'!F$1)</f>
        <v>4048321.5219999994</v>
      </c>
      <c r="G10" s="215">
        <f>SUMIFS('FY13-23 Full Data'!$AL9:$FA9,'FY13-23 Full Data'!$AL$2:$FA$2,'New Yearly Report'!G$1)</f>
        <v>3389966.8732900005</v>
      </c>
      <c r="H10" s="215">
        <f>SUMIFS('FY13-23 Full Data'!$AL9:$FA9,'FY13-23 Full Data'!$AL$2:$FA$2,'New Yearly Report'!H$1)</f>
        <v>3335058.5693600001</v>
      </c>
      <c r="I10" s="215">
        <f>SUMIFS('FY13-23 Full Data'!$AL9:$FA9,'FY13-23 Full Data'!$AL$2:$FA$2,'New Yearly Report'!I$1)</f>
        <v>3369745.1138899997</v>
      </c>
      <c r="J10" s="215">
        <f>SUMIFS('FY13-23 Full Data'!$AL9:$FA9,'FY13-23 Full Data'!$AL$2:$FA$2,'New Yearly Report'!J$1)</f>
        <v>3656716.6299700001</v>
      </c>
      <c r="K10" s="215">
        <f>SUMIFS('FY13-23 Full Data'!$AL9:$FA9,'FY13-23 Full Data'!$AL$2:$FA$2,'New Yearly Report'!K$1)</f>
        <v>3623596.8517899998</v>
      </c>
      <c r="L10" s="215">
        <f>SUMIFS('FY13-23 Full Data'!$AL9:$FA9,'FY13-23 Full Data'!$AL$2:$FA$2,'New Yearly Report'!L$1)</f>
        <v>3218285.5799999996</v>
      </c>
      <c r="M10" s="215">
        <f>SUMIFS('FY13-23 Full Data'!$AL9:$FA9,'FY13-23 Full Data'!$AL$2:$FA$2,'New Yearly Report'!M$1)</f>
        <v>2766928</v>
      </c>
    </row>
    <row r="11" spans="2:13" x14ac:dyDescent="0.25">
      <c r="B11" s="208" t="s">
        <v>125</v>
      </c>
      <c r="C11" s="208" t="s">
        <v>126</v>
      </c>
      <c r="D11" s="215">
        <f>SUMIFS('FY13-23 Full Data'!$AL10:$FA10,'FY13-23 Full Data'!$AL$2:$FA$2,'New Yearly Report'!D$1)</f>
        <v>144570.61555000002</v>
      </c>
      <c r="E11" s="215">
        <f>SUMIFS('FY13-23 Full Data'!$AL10:$FA10,'FY13-23 Full Data'!$AL$2:$FA$2,'New Yearly Report'!E$1)</f>
        <v>92405.867799999993</v>
      </c>
      <c r="F11" s="215">
        <f>SUMIFS('FY13-23 Full Data'!$AL10:$FA10,'FY13-23 Full Data'!$AL$2:$FA$2,'New Yearly Report'!F$1)</f>
        <v>97399.913450000022</v>
      </c>
      <c r="G11" s="215">
        <f>SUMIFS('FY13-23 Full Data'!$AL10:$FA10,'FY13-23 Full Data'!$AL$2:$FA$2,'New Yearly Report'!G$1)</f>
        <v>71268.472990000009</v>
      </c>
      <c r="H11" s="215">
        <f>SUMIFS('FY13-23 Full Data'!$AL10:$FA10,'FY13-23 Full Data'!$AL$2:$FA$2,'New Yearly Report'!H$1)</f>
        <v>73235.148149999994</v>
      </c>
      <c r="I11" s="215">
        <f>SUMIFS('FY13-23 Full Data'!$AL10:$FA10,'FY13-23 Full Data'!$AL$2:$FA$2,'New Yearly Report'!I$1)</f>
        <v>56695.768879999989</v>
      </c>
      <c r="J11" s="215">
        <f>SUMIFS('FY13-23 Full Data'!$AL10:$FA10,'FY13-23 Full Data'!$AL$2:$FA$2,'New Yearly Report'!J$1)</f>
        <v>61914.664350000006</v>
      </c>
      <c r="K11" s="215">
        <f>SUMIFS('FY13-23 Full Data'!$AL10:$FA10,'FY13-23 Full Data'!$AL$2:$FA$2,'New Yearly Report'!K$1)</f>
        <v>67297.111799999999</v>
      </c>
      <c r="L11" s="215">
        <f>SUMIFS('FY13-23 Full Data'!$AL10:$FA10,'FY13-23 Full Data'!$AL$2:$FA$2,'New Yearly Report'!L$1)</f>
        <v>92846.17</v>
      </c>
      <c r="M11" s="215">
        <f>SUMIFS('FY13-23 Full Data'!$AL10:$FA10,'FY13-23 Full Data'!$AL$2:$FA$2,'New Yearly Report'!M$1)</f>
        <v>75863</v>
      </c>
    </row>
    <row r="12" spans="2:13" x14ac:dyDescent="0.25">
      <c r="B12" s="208" t="s">
        <v>127</v>
      </c>
      <c r="C12" s="208" t="s">
        <v>128</v>
      </c>
      <c r="D12" s="215">
        <f>SUMIFS('FY13-23 Full Data'!$AL11:$FA11,'FY13-23 Full Data'!$AL$2:$FA$2,'New Yearly Report'!D$1)</f>
        <v>916025.42881999991</v>
      </c>
      <c r="E12" s="215">
        <f>SUMIFS('FY13-23 Full Data'!$AL11:$FA11,'FY13-23 Full Data'!$AL$2:$FA$2,'New Yearly Report'!E$1)</f>
        <v>798708.94298999989</v>
      </c>
      <c r="F12" s="215">
        <f>SUMIFS('FY13-23 Full Data'!$AL11:$FA11,'FY13-23 Full Data'!$AL$2:$FA$2,'New Yearly Report'!F$1)</f>
        <v>922684.74445</v>
      </c>
      <c r="G12" s="215">
        <f>SUMIFS('FY13-23 Full Data'!$AL11:$FA11,'FY13-23 Full Data'!$AL$2:$FA$2,'New Yearly Report'!G$1)</f>
        <v>695460.94127000007</v>
      </c>
      <c r="H12" s="215">
        <f>SUMIFS('FY13-23 Full Data'!$AL11:$FA11,'FY13-23 Full Data'!$AL$2:$FA$2,'New Yearly Report'!H$1)</f>
        <v>611506.48244000005</v>
      </c>
      <c r="I12" s="215">
        <f>SUMIFS('FY13-23 Full Data'!$AL11:$FA11,'FY13-23 Full Data'!$AL$2:$FA$2,'New Yearly Report'!I$1)</f>
        <v>613724.47320000001</v>
      </c>
      <c r="J12" s="215">
        <f>SUMIFS('FY13-23 Full Data'!$AL11:$FA11,'FY13-23 Full Data'!$AL$2:$FA$2,'New Yearly Report'!J$1)</f>
        <v>622751.95467999997</v>
      </c>
      <c r="K12" s="215">
        <f>SUMIFS('FY13-23 Full Data'!$AL11:$FA11,'FY13-23 Full Data'!$AL$2:$FA$2,'New Yearly Report'!K$1)</f>
        <v>607638.80067000003</v>
      </c>
      <c r="L12" s="215">
        <f>SUMIFS('FY13-23 Full Data'!$AL11:$FA11,'FY13-23 Full Data'!$AL$2:$FA$2,'New Yearly Report'!L$1)</f>
        <v>523337.18</v>
      </c>
      <c r="M12" s="215">
        <f>SUMIFS('FY13-23 Full Data'!$AL11:$FA11,'FY13-23 Full Data'!$AL$2:$FA$2,'New Yearly Report'!M$1)</f>
        <v>374581</v>
      </c>
    </row>
    <row r="13" spans="2:13" x14ac:dyDescent="0.25">
      <c r="B13" s="208" t="s">
        <v>129</v>
      </c>
      <c r="C13" s="208" t="s">
        <v>130</v>
      </c>
      <c r="D13" s="215">
        <f>SUMIFS('FY13-23 Full Data'!$AL12:$FA12,'FY13-23 Full Data'!$AL$2:$FA$2,'New Yearly Report'!D$1)</f>
        <v>78690.422450000013</v>
      </c>
      <c r="E13" s="215">
        <f>SUMIFS('FY13-23 Full Data'!$AL12:$FA12,'FY13-23 Full Data'!$AL$2:$FA$2,'New Yearly Report'!E$1)</f>
        <v>73053.068719999996</v>
      </c>
      <c r="F13" s="215">
        <f>SUMIFS('FY13-23 Full Data'!$AL12:$FA12,'FY13-23 Full Data'!$AL$2:$FA$2,'New Yearly Report'!F$1)</f>
        <v>63238.138150000013</v>
      </c>
      <c r="G13" s="215">
        <f>SUMIFS('FY13-23 Full Data'!$AL12:$FA12,'FY13-23 Full Data'!$AL$2:$FA$2,'New Yearly Report'!G$1)</f>
        <v>65990.958230000004</v>
      </c>
      <c r="H13" s="215">
        <f>SUMIFS('FY13-23 Full Data'!$AL12:$FA12,'FY13-23 Full Data'!$AL$2:$FA$2,'New Yearly Report'!H$1)</f>
        <v>73648.772829999987</v>
      </c>
      <c r="I13" s="215">
        <f>SUMIFS('FY13-23 Full Data'!$AL12:$FA12,'FY13-23 Full Data'!$AL$2:$FA$2,'New Yearly Report'!I$1)</f>
        <v>64264.667360000007</v>
      </c>
      <c r="J13" s="215">
        <f>SUMIFS('FY13-23 Full Data'!$AL12:$FA12,'FY13-23 Full Data'!$AL$2:$FA$2,'New Yearly Report'!J$1)</f>
        <v>107106.40376999998</v>
      </c>
      <c r="K13" s="215">
        <f>SUMIFS('FY13-23 Full Data'!$AL12:$FA12,'FY13-23 Full Data'!$AL$2:$FA$2,'New Yearly Report'!K$1)</f>
        <v>100012.13623</v>
      </c>
      <c r="L13" s="215">
        <f>SUMIFS('FY13-23 Full Data'!$AL12:$FA12,'FY13-23 Full Data'!$AL$2:$FA$2,'New Yearly Report'!L$1)</f>
        <v>124899.16</v>
      </c>
      <c r="M13" s="215">
        <f>SUMIFS('FY13-23 Full Data'!$AL12:$FA12,'FY13-23 Full Data'!$AL$2:$FA$2,'New Yearly Report'!M$1)</f>
        <v>63198</v>
      </c>
    </row>
    <row r="14" spans="2:13" x14ac:dyDescent="0.25">
      <c r="B14" s="208" t="s">
        <v>131</v>
      </c>
      <c r="C14" s="208" t="s">
        <v>132</v>
      </c>
      <c r="D14" s="215">
        <f>SUMIFS('FY13-23 Full Data'!$AL13:$FA13,'FY13-23 Full Data'!$AL$2:$FA$2,'New Yearly Report'!D$1)</f>
        <v>140803.42965000001</v>
      </c>
      <c r="E14" s="215">
        <f>SUMIFS('FY13-23 Full Data'!$AL13:$FA13,'FY13-23 Full Data'!$AL$2:$FA$2,'New Yearly Report'!E$1)</f>
        <v>152812.46533000001</v>
      </c>
      <c r="F14" s="215">
        <f>SUMIFS('FY13-23 Full Data'!$AL13:$FA13,'FY13-23 Full Data'!$AL$2:$FA$2,'New Yearly Report'!F$1)</f>
        <v>270266.21807</v>
      </c>
      <c r="G14" s="215">
        <f>SUMIFS('FY13-23 Full Data'!$AL13:$FA13,'FY13-23 Full Data'!$AL$2:$FA$2,'New Yearly Report'!G$1)</f>
        <v>893375.39966999984</v>
      </c>
      <c r="H14" s="215">
        <f>SUMIFS('FY13-23 Full Data'!$AL13:$FA13,'FY13-23 Full Data'!$AL$2:$FA$2,'New Yearly Report'!H$1)</f>
        <v>1289363.9059899999</v>
      </c>
      <c r="I14" s="215">
        <f>SUMIFS('FY13-23 Full Data'!$AL13:$FA13,'FY13-23 Full Data'!$AL$2:$FA$2,'New Yearly Report'!I$1)</f>
        <v>1295287.7751799999</v>
      </c>
      <c r="J14" s="215">
        <f>SUMIFS('FY13-23 Full Data'!$AL13:$FA13,'FY13-23 Full Data'!$AL$2:$FA$2,'New Yearly Report'!J$1)</f>
        <v>923762.24867999996</v>
      </c>
      <c r="K14" s="215">
        <f>SUMIFS('FY13-23 Full Data'!$AL13:$FA13,'FY13-23 Full Data'!$AL$2:$FA$2,'New Yearly Report'!K$1)</f>
        <v>751025.14017999999</v>
      </c>
      <c r="L14" s="215">
        <f>SUMIFS('FY13-23 Full Data'!$AL13:$FA13,'FY13-23 Full Data'!$AL$2:$FA$2,'New Yearly Report'!L$1)</f>
        <v>480423.97</v>
      </c>
      <c r="M14" s="215">
        <f>SUMIFS('FY13-23 Full Data'!$AL13:$FA13,'FY13-23 Full Data'!$AL$2:$FA$2,'New Yearly Report'!M$1)</f>
        <v>303942</v>
      </c>
    </row>
    <row r="15" spans="2:13" x14ac:dyDescent="0.25">
      <c r="B15" s="208" t="s">
        <v>133</v>
      </c>
      <c r="C15" s="208" t="s">
        <v>134</v>
      </c>
      <c r="D15" s="215">
        <f>SUMIFS('FY13-23 Full Data'!$AL14:$FA14,'FY13-23 Full Data'!$AL$2:$FA$2,'New Yearly Report'!D$1)</f>
        <v>153995.56406000003</v>
      </c>
      <c r="E15" s="215">
        <f>SUMIFS('FY13-23 Full Data'!$AL14:$FA14,'FY13-23 Full Data'!$AL$2:$FA$2,'New Yearly Report'!E$1)</f>
        <v>113241.20103999997</v>
      </c>
      <c r="F15" s="215">
        <f>SUMIFS('FY13-23 Full Data'!$AL14:$FA14,'FY13-23 Full Data'!$AL$2:$FA$2,'New Yearly Report'!F$1)</f>
        <v>109280.94671999999</v>
      </c>
      <c r="G15" s="215">
        <f>SUMIFS('FY13-23 Full Data'!$AL14:$FA14,'FY13-23 Full Data'!$AL$2:$FA$2,'New Yearly Report'!G$1)</f>
        <v>67219.378809999995</v>
      </c>
      <c r="H15" s="215">
        <f>SUMIFS('FY13-23 Full Data'!$AL14:$FA14,'FY13-23 Full Data'!$AL$2:$FA$2,'New Yearly Report'!H$1)</f>
        <v>84817.651010000016</v>
      </c>
      <c r="I15" s="215">
        <f>SUMIFS('FY13-23 Full Data'!$AL14:$FA14,'FY13-23 Full Data'!$AL$2:$FA$2,'New Yearly Report'!I$1)</f>
        <v>81711.578309999997</v>
      </c>
      <c r="J15" s="215">
        <f>SUMIFS('FY13-23 Full Data'!$AL14:$FA14,'FY13-23 Full Data'!$AL$2:$FA$2,'New Yearly Report'!J$1)</f>
        <v>64167.182499999988</v>
      </c>
      <c r="K15" s="215">
        <f>SUMIFS('FY13-23 Full Data'!$AL14:$FA14,'FY13-23 Full Data'!$AL$2:$FA$2,'New Yearly Report'!K$1)</f>
        <v>76271.903199999986</v>
      </c>
      <c r="L15" s="215">
        <f>SUMIFS('FY13-23 Full Data'!$AL14:$FA14,'FY13-23 Full Data'!$AL$2:$FA$2,'New Yearly Report'!L$1)</f>
        <v>69303.639999999985</v>
      </c>
      <c r="M15" s="215">
        <f>SUMIFS('FY13-23 Full Data'!$AL14:$FA14,'FY13-23 Full Data'!$AL$2:$FA$2,'New Yearly Report'!M$1)</f>
        <v>57229</v>
      </c>
    </row>
    <row r="16" spans="2:13" x14ac:dyDescent="0.25">
      <c r="B16" s="208" t="s">
        <v>135</v>
      </c>
      <c r="C16" s="208" t="s">
        <v>136</v>
      </c>
      <c r="D16" s="215">
        <f>SUMIFS('FY13-23 Full Data'!$AL15:$FA15,'FY13-23 Full Data'!$AL$2:$FA$2,'New Yearly Report'!D$1)</f>
        <v>368107.67197999998</v>
      </c>
      <c r="E16" s="215">
        <f>SUMIFS('FY13-23 Full Data'!$AL15:$FA15,'FY13-23 Full Data'!$AL$2:$FA$2,'New Yearly Report'!E$1)</f>
        <v>177681.86278</v>
      </c>
      <c r="F16" s="215">
        <f>SUMIFS('FY13-23 Full Data'!$AL15:$FA15,'FY13-23 Full Data'!$AL$2:$FA$2,'New Yearly Report'!F$1)</f>
        <v>239878.23523000002</v>
      </c>
      <c r="G16" s="215">
        <f>SUMIFS('FY13-23 Full Data'!$AL15:$FA15,'FY13-23 Full Data'!$AL$2:$FA$2,'New Yearly Report'!G$1)</f>
        <v>207666.40682999996</v>
      </c>
      <c r="H16" s="215">
        <f>SUMIFS('FY13-23 Full Data'!$AL15:$FA15,'FY13-23 Full Data'!$AL$2:$FA$2,'New Yearly Report'!H$1)</f>
        <v>138131.50698999997</v>
      </c>
      <c r="I16" s="215">
        <f>SUMIFS('FY13-23 Full Data'!$AL15:$FA15,'FY13-23 Full Data'!$AL$2:$FA$2,'New Yearly Report'!I$1)</f>
        <v>96395.552179999984</v>
      </c>
      <c r="J16" s="215">
        <f>SUMIFS('FY13-23 Full Data'!$AL15:$FA15,'FY13-23 Full Data'!$AL$2:$FA$2,'New Yearly Report'!J$1)</f>
        <v>49723.794889999997</v>
      </c>
      <c r="K16" s="215">
        <f>SUMIFS('FY13-23 Full Data'!$AL15:$FA15,'FY13-23 Full Data'!$AL$2:$FA$2,'New Yearly Report'!K$1)</f>
        <v>139534.91203000001</v>
      </c>
      <c r="L16" s="215">
        <f>SUMIFS('FY13-23 Full Data'!$AL15:$FA15,'FY13-23 Full Data'!$AL$2:$FA$2,'New Yearly Report'!L$1)</f>
        <v>152735.50449999998</v>
      </c>
      <c r="M16" s="215">
        <f>SUMIFS('FY13-23 Full Data'!$AL15:$FA15,'FY13-23 Full Data'!$AL$2:$FA$2,'New Yearly Report'!M$1)</f>
        <v>127497</v>
      </c>
    </row>
    <row r="17" spans="2:13" x14ac:dyDescent="0.25">
      <c r="B17" s="208" t="s">
        <v>137</v>
      </c>
      <c r="C17" s="208" t="s">
        <v>138</v>
      </c>
      <c r="D17" s="215">
        <f>SUMIFS('FY13-23 Full Data'!$AL16:$FA16,'FY13-23 Full Data'!$AL$2:$FA$2,'New Yearly Report'!D$1)</f>
        <v>764206.71201999986</v>
      </c>
      <c r="E17" s="215">
        <f>SUMIFS('FY13-23 Full Data'!$AL16:$FA16,'FY13-23 Full Data'!$AL$2:$FA$2,'New Yearly Report'!E$1)</f>
        <v>26682.03168</v>
      </c>
      <c r="F17" s="215">
        <f>SUMIFS('FY13-23 Full Data'!$AL16:$FA16,'FY13-23 Full Data'!$AL$2:$FA$2,'New Yearly Report'!F$1)</f>
        <v>17138.5026</v>
      </c>
      <c r="G17" s="215">
        <f>SUMIFS('FY13-23 Full Data'!$AL16:$FA16,'FY13-23 Full Data'!$AL$2:$FA$2,'New Yearly Report'!G$1)</f>
        <v>-646.84319999999957</v>
      </c>
      <c r="H17" s="215">
        <f>SUMIFS('FY13-23 Full Data'!$AL16:$FA16,'FY13-23 Full Data'!$AL$2:$FA$2,'New Yearly Report'!H$1)</f>
        <v>940.67835000000036</v>
      </c>
      <c r="I17" s="215">
        <f>SUMIFS('FY13-23 Full Data'!$AL16:$FA16,'FY13-23 Full Data'!$AL$2:$FA$2,'New Yearly Report'!I$1)</f>
        <v>79.94255000000021</v>
      </c>
      <c r="J17" s="215">
        <f>SUMIFS('FY13-23 Full Data'!$AL16:$FA16,'FY13-23 Full Data'!$AL$2:$FA$2,'New Yearly Report'!J$1)</f>
        <v>-971.89139999999998</v>
      </c>
      <c r="K17" s="215">
        <f>SUMIFS('FY13-23 Full Data'!$AL16:$FA16,'FY13-23 Full Data'!$AL$2:$FA$2,'New Yearly Report'!K$1)</f>
        <v>2190.02945</v>
      </c>
      <c r="L17" s="215">
        <f>SUMIFS('FY13-23 Full Data'!$AL16:$FA16,'FY13-23 Full Data'!$AL$2:$FA$2,'New Yearly Report'!L$1)</f>
        <v>0</v>
      </c>
      <c r="M17" s="215">
        <f>SUMIFS('FY13-23 Full Data'!$AL16:$FA16,'FY13-23 Full Data'!$AL$2:$FA$2,'New Yearly Report'!M$1)</f>
        <v>0</v>
      </c>
    </row>
    <row r="18" spans="2:13" x14ac:dyDescent="0.25">
      <c r="B18" s="208" t="s">
        <v>139</v>
      </c>
      <c r="C18" s="208" t="s">
        <v>140</v>
      </c>
      <c r="D18" s="215">
        <f>SUMIFS('FY13-23 Full Data'!$AL17:$FA17,'FY13-23 Full Data'!$AL$2:$FA$2,'New Yearly Report'!D$1)</f>
        <v>116116.07908</v>
      </c>
      <c r="E18" s="215">
        <f>SUMIFS('FY13-23 Full Data'!$AL17:$FA17,'FY13-23 Full Data'!$AL$2:$FA$2,'New Yearly Report'!E$1)</f>
        <v>100330.48641000001</v>
      </c>
      <c r="F18" s="215">
        <f>SUMIFS('FY13-23 Full Data'!$AL17:$FA17,'FY13-23 Full Data'!$AL$2:$FA$2,'New Yearly Report'!F$1)</f>
        <v>90066.232889999985</v>
      </c>
      <c r="G18" s="215">
        <f>SUMIFS('FY13-23 Full Data'!$AL17:$FA17,'FY13-23 Full Data'!$AL$2:$FA$2,'New Yearly Report'!G$1)</f>
        <v>141904.73372000002</v>
      </c>
      <c r="H18" s="215">
        <f>SUMIFS('FY13-23 Full Data'!$AL17:$FA17,'FY13-23 Full Data'!$AL$2:$FA$2,'New Yearly Report'!H$1)</f>
        <v>110991.99118</v>
      </c>
      <c r="I18" s="215">
        <f>SUMIFS('FY13-23 Full Data'!$AL17:$FA17,'FY13-23 Full Data'!$AL$2:$FA$2,'New Yearly Report'!I$1)</f>
        <v>110558.70109999998</v>
      </c>
      <c r="J18" s="215">
        <f>SUMIFS('FY13-23 Full Data'!$AL17:$FA17,'FY13-23 Full Data'!$AL$2:$FA$2,'New Yearly Report'!J$1)</f>
        <v>105204.97645</v>
      </c>
      <c r="K18" s="215">
        <f>SUMIFS('FY13-23 Full Data'!$AL17:$FA17,'FY13-23 Full Data'!$AL$2:$FA$2,'New Yearly Report'!K$1)</f>
        <v>135635.99778999999</v>
      </c>
      <c r="L18" s="215">
        <f>SUMIFS('FY13-23 Full Data'!$AL17:$FA17,'FY13-23 Full Data'!$AL$2:$FA$2,'New Yearly Report'!L$1)</f>
        <v>204275.46999999997</v>
      </c>
      <c r="M18" s="215">
        <f>SUMIFS('FY13-23 Full Data'!$AL17:$FA17,'FY13-23 Full Data'!$AL$2:$FA$2,'New Yearly Report'!M$1)</f>
        <v>273184</v>
      </c>
    </row>
    <row r="19" spans="2:13" x14ac:dyDescent="0.25">
      <c r="B19" s="208" t="s">
        <v>141</v>
      </c>
      <c r="C19" s="208" t="s">
        <v>142</v>
      </c>
      <c r="D19" s="215">
        <f>SUMIFS('FY13-23 Full Data'!$AL18:$FA18,'FY13-23 Full Data'!$AL$2:$FA$2,'New Yearly Report'!D$1)</f>
        <v>28791.28225</v>
      </c>
      <c r="E19" s="215">
        <f>SUMIFS('FY13-23 Full Data'!$AL18:$FA18,'FY13-23 Full Data'!$AL$2:$FA$2,'New Yearly Report'!E$1)</f>
        <v>16213.935250000004</v>
      </c>
      <c r="F19" s="215">
        <f>SUMIFS('FY13-23 Full Data'!$AL18:$FA18,'FY13-23 Full Data'!$AL$2:$FA$2,'New Yearly Report'!F$1)</f>
        <v>8282.7470000000012</v>
      </c>
      <c r="G19" s="215">
        <f>SUMIFS('FY13-23 Full Data'!$AL18:$FA18,'FY13-23 Full Data'!$AL$2:$FA$2,'New Yearly Report'!G$1)</f>
        <v>10883.259999999998</v>
      </c>
      <c r="H19" s="215">
        <f>SUMIFS('FY13-23 Full Data'!$AL18:$FA18,'FY13-23 Full Data'!$AL$2:$FA$2,'New Yearly Report'!H$1)</f>
        <v>6885.4702500000003</v>
      </c>
      <c r="I19" s="215">
        <f>SUMIFS('FY13-23 Full Data'!$AL18:$FA18,'FY13-23 Full Data'!$AL$2:$FA$2,'New Yearly Report'!I$1)</f>
        <v>-4909.4093700000058</v>
      </c>
      <c r="J19" s="215">
        <f>SUMIFS('FY13-23 Full Data'!$AL18:$FA18,'FY13-23 Full Data'!$AL$2:$FA$2,'New Yearly Report'!J$1)</f>
        <v>-16286.2197</v>
      </c>
      <c r="K19" s="215">
        <f>SUMIFS('FY13-23 Full Data'!$AL18:$FA18,'FY13-23 Full Data'!$AL$2:$FA$2,'New Yearly Report'!K$1)</f>
        <v>15264.395849999999</v>
      </c>
      <c r="L19" s="215">
        <f>SUMIFS('FY13-23 Full Data'!$AL18:$FA18,'FY13-23 Full Data'!$AL$2:$FA$2,'New Yearly Report'!L$1)</f>
        <v>60795.510000000009</v>
      </c>
      <c r="M19" s="215">
        <f>SUMIFS('FY13-23 Full Data'!$AL18:$FA18,'FY13-23 Full Data'!$AL$2:$FA$2,'New Yearly Report'!M$1)</f>
        <v>58226</v>
      </c>
    </row>
    <row r="20" spans="2:13" x14ac:dyDescent="0.25">
      <c r="B20" s="208" t="s">
        <v>144</v>
      </c>
      <c r="C20" s="208" t="s">
        <v>145</v>
      </c>
      <c r="D20" s="215">
        <f>SUMIFS('FY13-23 Full Data'!$AL19:$FA19,'FY13-23 Full Data'!$AL$2:$FA$2,'New Yearly Report'!D$1)</f>
        <v>0</v>
      </c>
      <c r="E20" s="215">
        <f>SUMIFS('FY13-23 Full Data'!$AL19:$FA19,'FY13-23 Full Data'!$AL$2:$FA$2,'New Yearly Report'!E$1)</f>
        <v>0</v>
      </c>
      <c r="F20" s="215">
        <f>SUMIFS('FY13-23 Full Data'!$AL19:$FA19,'FY13-23 Full Data'!$AL$2:$FA$2,'New Yearly Report'!F$1)</f>
        <v>0</v>
      </c>
      <c r="G20" s="215">
        <f>SUMIFS('FY13-23 Full Data'!$AL19:$FA19,'FY13-23 Full Data'!$AL$2:$FA$2,'New Yearly Report'!G$1)</f>
        <v>0</v>
      </c>
      <c r="H20" s="215">
        <f>SUMIFS('FY13-23 Full Data'!$AL19:$FA19,'FY13-23 Full Data'!$AL$2:$FA$2,'New Yearly Report'!H$1)</f>
        <v>0</v>
      </c>
      <c r="I20" s="215">
        <f>SUMIFS('FY13-23 Full Data'!$AL19:$FA19,'FY13-23 Full Data'!$AL$2:$FA$2,'New Yearly Report'!I$1)</f>
        <v>13750</v>
      </c>
      <c r="J20" s="215">
        <f>SUMIFS('FY13-23 Full Data'!$AL19:$FA19,'FY13-23 Full Data'!$AL$2:$FA$2,'New Yearly Report'!J$1)</f>
        <v>16080</v>
      </c>
      <c r="K20" s="215">
        <f>SUMIFS('FY13-23 Full Data'!$AL19:$FA19,'FY13-23 Full Data'!$AL$2:$FA$2,'New Yearly Report'!K$1)</f>
        <v>0</v>
      </c>
      <c r="L20" s="215">
        <f>SUMIFS('FY13-23 Full Data'!$AL19:$FA19,'FY13-23 Full Data'!$AL$2:$FA$2,'New Yearly Report'!L$1)</f>
        <v>22213.510000000002</v>
      </c>
      <c r="M20" s="215">
        <f>SUMIFS('FY13-23 Full Data'!$AL19:$FA19,'FY13-23 Full Data'!$AL$2:$FA$2,'New Yearly Report'!M$1)</f>
        <v>22000</v>
      </c>
    </row>
    <row r="21" spans="2:13" x14ac:dyDescent="0.25">
      <c r="B21" s="208" t="s">
        <v>146</v>
      </c>
      <c r="C21" s="208" t="s">
        <v>147</v>
      </c>
      <c r="D21" s="215">
        <f>SUMIFS('FY13-23 Full Data'!$AL20:$FA20,'FY13-23 Full Data'!$AL$2:$FA$2,'New Yearly Report'!D$1)</f>
        <v>72165.656830000007</v>
      </c>
      <c r="E21" s="215">
        <f>SUMIFS('FY13-23 Full Data'!$AL20:$FA20,'FY13-23 Full Data'!$AL$2:$FA$2,'New Yearly Report'!E$1)</f>
        <v>43934.690320000002</v>
      </c>
      <c r="F21" s="215">
        <f>SUMIFS('FY13-23 Full Data'!$AL20:$FA20,'FY13-23 Full Data'!$AL$2:$FA$2,'New Yearly Report'!F$1)</f>
        <v>37262.564909999994</v>
      </c>
      <c r="G21" s="215">
        <f>SUMIFS('FY13-23 Full Data'!$AL20:$FA20,'FY13-23 Full Data'!$AL$2:$FA$2,'New Yearly Report'!G$1)</f>
        <v>26657.968170000004</v>
      </c>
      <c r="H21" s="215">
        <f>SUMIFS('FY13-23 Full Data'!$AL20:$FA20,'FY13-23 Full Data'!$AL$2:$FA$2,'New Yearly Report'!H$1)</f>
        <v>19716.501729999996</v>
      </c>
      <c r="I21" s="215">
        <f>SUMIFS('FY13-23 Full Data'!$AL20:$FA20,'FY13-23 Full Data'!$AL$2:$FA$2,'New Yearly Report'!I$1)</f>
        <v>16091.77231</v>
      </c>
      <c r="J21" s="215">
        <f>SUMIFS('FY13-23 Full Data'!$AL20:$FA20,'FY13-23 Full Data'!$AL$2:$FA$2,'New Yearly Report'!J$1)</f>
        <v>20624.009179999997</v>
      </c>
      <c r="K21" s="215">
        <f>SUMIFS('FY13-23 Full Data'!$AL20:$FA20,'FY13-23 Full Data'!$AL$2:$FA$2,'New Yearly Report'!K$1)</f>
        <v>38054.681579999989</v>
      </c>
      <c r="L21" s="215">
        <f>SUMIFS('FY13-23 Full Data'!$AL20:$FA20,'FY13-23 Full Data'!$AL$2:$FA$2,'New Yearly Report'!L$1)</f>
        <v>80135.590000000011</v>
      </c>
      <c r="M21" s="215">
        <f>SUMIFS('FY13-23 Full Data'!$AL20:$FA20,'FY13-23 Full Data'!$AL$2:$FA$2,'New Yearly Report'!M$1)</f>
        <v>30723</v>
      </c>
    </row>
    <row r="22" spans="2:13" x14ac:dyDescent="0.25">
      <c r="B22" s="208" t="s">
        <v>148</v>
      </c>
      <c r="C22" s="208" t="s">
        <v>149</v>
      </c>
      <c r="D22" s="215">
        <f>SUMIFS('FY13-23 Full Data'!$AL21:$FA21,'FY13-23 Full Data'!$AL$2:$FA$2,'New Yearly Report'!D$1)</f>
        <v>1266030.8372</v>
      </c>
      <c r="E22" s="215">
        <f>SUMIFS('FY13-23 Full Data'!$AL21:$FA21,'FY13-23 Full Data'!$AL$2:$FA$2,'New Yearly Report'!E$1)</f>
        <v>1097234.7796</v>
      </c>
      <c r="F22" s="215">
        <f>SUMIFS('FY13-23 Full Data'!$AL21:$FA21,'FY13-23 Full Data'!$AL$2:$FA$2,'New Yearly Report'!F$1)</f>
        <v>1226992.4560499999</v>
      </c>
      <c r="G22" s="215">
        <f>SUMIFS('FY13-23 Full Data'!$AL21:$FA21,'FY13-23 Full Data'!$AL$2:$FA$2,'New Yearly Report'!G$1)</f>
        <v>1113083.4922000002</v>
      </c>
      <c r="H22" s="215">
        <f>SUMIFS('FY13-23 Full Data'!$AL21:$FA21,'FY13-23 Full Data'!$AL$2:$FA$2,'New Yearly Report'!H$1)</f>
        <v>1012444.8849999999</v>
      </c>
      <c r="I22" s="215">
        <f>SUMIFS('FY13-23 Full Data'!$AL21:$FA21,'FY13-23 Full Data'!$AL$2:$FA$2,'New Yearly Report'!I$1)</f>
        <v>1011048.0554</v>
      </c>
      <c r="J22" s="215">
        <f>SUMIFS('FY13-23 Full Data'!$AL21:$FA21,'FY13-23 Full Data'!$AL$2:$FA$2,'New Yearly Report'!J$1)</f>
        <v>999848.57579999999</v>
      </c>
      <c r="K22" s="215">
        <f>SUMIFS('FY13-23 Full Data'!$AL21:$FA21,'FY13-23 Full Data'!$AL$2:$FA$2,'New Yearly Report'!K$1)</f>
        <v>979283.5</v>
      </c>
      <c r="L22" s="215">
        <f>SUMIFS('FY13-23 Full Data'!$AL21:$FA21,'FY13-23 Full Data'!$AL$2:$FA$2,'New Yearly Report'!L$1)</f>
        <v>1009820.61</v>
      </c>
      <c r="M22" s="215">
        <f>SUMIFS('FY13-23 Full Data'!$AL21:$FA21,'FY13-23 Full Data'!$AL$2:$FA$2,'New Yearly Report'!M$1)</f>
        <v>817669</v>
      </c>
    </row>
    <row r="23" spans="2:13" x14ac:dyDescent="0.25">
      <c r="B23" s="208" t="s">
        <v>150</v>
      </c>
      <c r="C23" s="208" t="s">
        <v>151</v>
      </c>
      <c r="D23" s="215">
        <f>SUMIFS('FY13-23 Full Data'!$AL22:$FA22,'FY13-23 Full Data'!$AL$2:$FA$2,'New Yearly Report'!D$1)</f>
        <v>251561.49076999997</v>
      </c>
      <c r="E23" s="215">
        <f>SUMIFS('FY13-23 Full Data'!$AL22:$FA22,'FY13-23 Full Data'!$AL$2:$FA$2,'New Yearly Report'!E$1)</f>
        <v>230448.51559999998</v>
      </c>
      <c r="F23" s="215">
        <f>SUMIFS('FY13-23 Full Data'!$AL22:$FA22,'FY13-23 Full Data'!$AL$2:$FA$2,'New Yearly Report'!F$1)</f>
        <v>352927.64419999998</v>
      </c>
      <c r="G23" s="215">
        <f>SUMIFS('FY13-23 Full Data'!$AL22:$FA22,'FY13-23 Full Data'!$AL$2:$FA$2,'New Yearly Report'!G$1)</f>
        <v>317330.43985999993</v>
      </c>
      <c r="H23" s="215">
        <f>SUMIFS('FY13-23 Full Data'!$AL22:$FA22,'FY13-23 Full Data'!$AL$2:$FA$2,'New Yearly Report'!H$1)</f>
        <v>343786.32195000001</v>
      </c>
      <c r="I23" s="215">
        <f>SUMIFS('FY13-23 Full Data'!$AL22:$FA22,'FY13-23 Full Data'!$AL$2:$FA$2,'New Yearly Report'!I$1)</f>
        <v>296113.66135000001</v>
      </c>
      <c r="J23" s="215">
        <f>SUMIFS('FY13-23 Full Data'!$AL22:$FA22,'FY13-23 Full Data'!$AL$2:$FA$2,'New Yearly Report'!J$1)</f>
        <v>224162.04991999996</v>
      </c>
      <c r="K23" s="215">
        <f>SUMIFS('FY13-23 Full Data'!$AL22:$FA22,'FY13-23 Full Data'!$AL$2:$FA$2,'New Yearly Report'!K$1)</f>
        <v>180486.96509000001</v>
      </c>
      <c r="L23" s="215">
        <f>SUMIFS('FY13-23 Full Data'!$AL22:$FA22,'FY13-23 Full Data'!$AL$2:$FA$2,'New Yearly Report'!L$1)</f>
        <v>166762.40999999997</v>
      </c>
      <c r="M23" s="215">
        <f>SUMIFS('FY13-23 Full Data'!$AL22:$FA22,'FY13-23 Full Data'!$AL$2:$FA$2,'New Yearly Report'!M$1)</f>
        <v>115569</v>
      </c>
    </row>
    <row r="24" spans="2:13" x14ac:dyDescent="0.25">
      <c r="B24" s="208" t="s">
        <v>152</v>
      </c>
      <c r="C24" s="208" t="s">
        <v>153</v>
      </c>
      <c r="D24" s="215">
        <f>SUMIFS('FY13-23 Full Data'!$AL23:$FA23,'FY13-23 Full Data'!$AL$2:$FA$2,'New Yearly Report'!D$1)</f>
        <v>459376.04901999998</v>
      </c>
      <c r="E24" s="215">
        <f>SUMIFS('FY13-23 Full Data'!$AL23:$FA23,'FY13-23 Full Data'!$AL$2:$FA$2,'New Yearly Report'!E$1)</f>
        <v>443447.22077999997</v>
      </c>
      <c r="F24" s="215">
        <f>SUMIFS('FY13-23 Full Data'!$AL23:$FA23,'FY13-23 Full Data'!$AL$2:$FA$2,'New Yearly Report'!F$1)</f>
        <v>358396.13722000003</v>
      </c>
      <c r="G24" s="215">
        <f>SUMIFS('FY13-23 Full Data'!$AL23:$FA23,'FY13-23 Full Data'!$AL$2:$FA$2,'New Yearly Report'!G$1)</f>
        <v>734573.17353000003</v>
      </c>
      <c r="H24" s="215">
        <f>SUMIFS('FY13-23 Full Data'!$AL23:$FA23,'FY13-23 Full Data'!$AL$2:$FA$2,'New Yearly Report'!H$1)</f>
        <v>1052857.29889</v>
      </c>
      <c r="I24" s="215">
        <f>SUMIFS('FY13-23 Full Data'!$AL23:$FA23,'FY13-23 Full Data'!$AL$2:$FA$2,'New Yearly Report'!I$1)</f>
        <v>923630.54746000003</v>
      </c>
      <c r="J24" s="215">
        <f>SUMIFS('FY13-23 Full Data'!$AL23:$FA23,'FY13-23 Full Data'!$AL$2:$FA$2,'New Yearly Report'!J$1)</f>
        <v>694862.73245000024</v>
      </c>
      <c r="K24" s="215">
        <f>SUMIFS('FY13-23 Full Data'!$AL23:$FA23,'FY13-23 Full Data'!$AL$2:$FA$2,'New Yearly Report'!K$1)</f>
        <v>613625.15727000008</v>
      </c>
      <c r="L24" s="215">
        <f>SUMIFS('FY13-23 Full Data'!$AL23:$FA23,'FY13-23 Full Data'!$AL$2:$FA$2,'New Yearly Report'!L$1)</f>
        <v>435642.00999999995</v>
      </c>
      <c r="M24" s="215">
        <f>SUMIFS('FY13-23 Full Data'!$AL23:$FA23,'FY13-23 Full Data'!$AL$2:$FA$2,'New Yearly Report'!M$1)</f>
        <v>267508</v>
      </c>
    </row>
    <row r="25" spans="2:13" x14ac:dyDescent="0.25">
      <c r="B25" s="208" t="s">
        <v>154</v>
      </c>
      <c r="C25" s="208" t="s">
        <v>155</v>
      </c>
      <c r="D25" s="215">
        <f>SUMIFS('FY13-23 Full Data'!$AL24:$FA24,'FY13-23 Full Data'!$AL$2:$FA$2,'New Yearly Report'!D$1)</f>
        <v>207143.38010000001</v>
      </c>
      <c r="E25" s="215">
        <f>SUMIFS('FY13-23 Full Data'!$AL24:$FA24,'FY13-23 Full Data'!$AL$2:$FA$2,'New Yearly Report'!E$1)</f>
        <v>190961.99982000003</v>
      </c>
      <c r="F25" s="215">
        <f>SUMIFS('FY13-23 Full Data'!$AL24:$FA24,'FY13-23 Full Data'!$AL$2:$FA$2,'New Yearly Report'!F$1)</f>
        <v>213454.69845000003</v>
      </c>
      <c r="G25" s="215">
        <f>SUMIFS('FY13-23 Full Data'!$AL24:$FA24,'FY13-23 Full Data'!$AL$2:$FA$2,'New Yearly Report'!G$1)</f>
        <v>109481.83554000003</v>
      </c>
      <c r="H25" s="215">
        <f>SUMIFS('FY13-23 Full Data'!$AL24:$FA24,'FY13-23 Full Data'!$AL$2:$FA$2,'New Yearly Report'!H$1)</f>
        <v>98444.097430000009</v>
      </c>
      <c r="I25" s="215">
        <f>SUMIFS('FY13-23 Full Data'!$AL24:$FA24,'FY13-23 Full Data'!$AL$2:$FA$2,'New Yearly Report'!I$1)</f>
        <v>91592.439559999999</v>
      </c>
      <c r="J25" s="215">
        <f>SUMIFS('FY13-23 Full Data'!$AL24:$FA24,'FY13-23 Full Data'!$AL$2:$FA$2,'New Yearly Report'!J$1)</f>
        <v>104671.45182000002</v>
      </c>
      <c r="K25" s="215">
        <f>SUMIFS('FY13-23 Full Data'!$AL24:$FA24,'FY13-23 Full Data'!$AL$2:$FA$2,'New Yearly Report'!K$1)</f>
        <v>82087.205459999983</v>
      </c>
      <c r="L25" s="215">
        <f>SUMIFS('FY13-23 Full Data'!$AL24:$FA24,'FY13-23 Full Data'!$AL$2:$FA$2,'New Yearly Report'!L$1)</f>
        <v>111997.06</v>
      </c>
      <c r="M25" s="215">
        <f>SUMIFS('FY13-23 Full Data'!$AL24:$FA24,'FY13-23 Full Data'!$AL$2:$FA$2,'New Yearly Report'!M$1)</f>
        <v>62571</v>
      </c>
    </row>
    <row r="26" spans="2:13" x14ac:dyDescent="0.25">
      <c r="B26" s="208" t="s">
        <v>156</v>
      </c>
      <c r="C26" s="208" t="s">
        <v>157</v>
      </c>
      <c r="D26" s="215">
        <f>SUMIFS('FY13-23 Full Data'!$AL25:$FA25,'FY13-23 Full Data'!$AL$2:$FA$2,'New Yearly Report'!D$1)</f>
        <v>131399.88202000002</v>
      </c>
      <c r="E26" s="215">
        <f>SUMIFS('FY13-23 Full Data'!$AL25:$FA25,'FY13-23 Full Data'!$AL$2:$FA$2,'New Yearly Report'!E$1)</f>
        <v>123190.06875000002</v>
      </c>
      <c r="F26" s="215">
        <f>SUMIFS('FY13-23 Full Data'!$AL25:$FA25,'FY13-23 Full Data'!$AL$2:$FA$2,'New Yearly Report'!F$1)</f>
        <v>133391.27684000001</v>
      </c>
      <c r="G26" s="215">
        <f>SUMIFS('FY13-23 Full Data'!$AL25:$FA25,'FY13-23 Full Data'!$AL$2:$FA$2,'New Yearly Report'!G$1)</f>
        <v>123562.06449</v>
      </c>
      <c r="H26" s="215">
        <f>SUMIFS('FY13-23 Full Data'!$AL25:$FA25,'FY13-23 Full Data'!$AL$2:$FA$2,'New Yearly Report'!H$1)</f>
        <v>100590.88883999999</v>
      </c>
      <c r="I26" s="215">
        <f>SUMIFS('FY13-23 Full Data'!$AL25:$FA25,'FY13-23 Full Data'!$AL$2:$FA$2,'New Yearly Report'!I$1)</f>
        <v>84755.660549999986</v>
      </c>
      <c r="J26" s="215">
        <f>SUMIFS('FY13-23 Full Data'!$AL25:$FA25,'FY13-23 Full Data'!$AL$2:$FA$2,'New Yearly Report'!J$1)</f>
        <v>68938.197069999995</v>
      </c>
      <c r="K26" s="215">
        <f>SUMIFS('FY13-23 Full Data'!$AL25:$FA25,'FY13-23 Full Data'!$AL$2:$FA$2,'New Yearly Report'!K$1)</f>
        <v>86898.596179999993</v>
      </c>
      <c r="L26" s="215">
        <f>SUMIFS('FY13-23 Full Data'!$AL25:$FA25,'FY13-23 Full Data'!$AL$2:$FA$2,'New Yearly Report'!L$1)</f>
        <v>80432.17</v>
      </c>
      <c r="M26" s="215">
        <f>SUMIFS('FY13-23 Full Data'!$AL25:$FA25,'FY13-23 Full Data'!$AL$2:$FA$2,'New Yearly Report'!M$1)</f>
        <v>80206</v>
      </c>
    </row>
    <row r="27" spans="2:13" x14ac:dyDescent="0.25">
      <c r="B27" s="208" t="s">
        <v>158</v>
      </c>
      <c r="C27" s="208" t="s">
        <v>159</v>
      </c>
      <c r="D27" s="215">
        <f>SUMIFS('FY13-23 Full Data'!$AL26:$FA26,'FY13-23 Full Data'!$AL$2:$FA$2,'New Yearly Report'!D$1)</f>
        <v>649035.84580000001</v>
      </c>
      <c r="E27" s="215">
        <f>SUMIFS('FY13-23 Full Data'!$AL26:$FA26,'FY13-23 Full Data'!$AL$2:$FA$2,'New Yearly Report'!E$1)</f>
        <v>260030.22339999999</v>
      </c>
      <c r="F27" s="215">
        <f>SUMIFS('FY13-23 Full Data'!$AL26:$FA26,'FY13-23 Full Data'!$AL$2:$FA$2,'New Yearly Report'!F$1)</f>
        <v>284083.0675</v>
      </c>
      <c r="G27" s="215">
        <f>SUMIFS('FY13-23 Full Data'!$AL26:$FA26,'FY13-23 Full Data'!$AL$2:$FA$2,'New Yearly Report'!G$1)</f>
        <v>207168.01110000003</v>
      </c>
      <c r="H27" s="215">
        <f>SUMIFS('FY13-23 Full Data'!$AL26:$FA26,'FY13-23 Full Data'!$AL$2:$FA$2,'New Yearly Report'!H$1)</f>
        <v>295631.6802</v>
      </c>
      <c r="I27" s="215">
        <f>SUMIFS('FY13-23 Full Data'!$AL26:$FA26,'FY13-23 Full Data'!$AL$2:$FA$2,'New Yearly Report'!I$1)</f>
        <v>340361.26400000002</v>
      </c>
      <c r="J27" s="215">
        <f>SUMIFS('FY13-23 Full Data'!$AL26:$FA26,'FY13-23 Full Data'!$AL$2:$FA$2,'New Yearly Report'!J$1)</f>
        <v>309990.98869999999</v>
      </c>
      <c r="K27" s="215">
        <f>SUMIFS('FY13-23 Full Data'!$AL26:$FA26,'FY13-23 Full Data'!$AL$2:$FA$2,'New Yearly Report'!K$1)</f>
        <v>327561.94109999988</v>
      </c>
      <c r="L27" s="215">
        <f>SUMIFS('FY13-23 Full Data'!$AL26:$FA26,'FY13-23 Full Data'!$AL$2:$FA$2,'New Yearly Report'!L$1)</f>
        <v>290242.14</v>
      </c>
      <c r="M27" s="215">
        <f>SUMIFS('FY13-23 Full Data'!$AL26:$FA26,'FY13-23 Full Data'!$AL$2:$FA$2,'New Yearly Report'!M$1)</f>
        <v>68766</v>
      </c>
    </row>
    <row r="28" spans="2:13" x14ac:dyDescent="0.25">
      <c r="B28" s="208" t="s">
        <v>160</v>
      </c>
      <c r="C28" s="208" t="s">
        <v>161</v>
      </c>
      <c r="D28" s="215">
        <f>SUMIFS('FY13-23 Full Data'!$AL27:$FA27,'FY13-23 Full Data'!$AL$2:$FA$2,'New Yearly Report'!D$1)</f>
        <v>1564347.4275800001</v>
      </c>
      <c r="E28" s="215">
        <f>SUMIFS('FY13-23 Full Data'!$AL27:$FA27,'FY13-23 Full Data'!$AL$2:$FA$2,'New Yearly Report'!E$1)</f>
        <v>1232165.5367400001</v>
      </c>
      <c r="F28" s="215">
        <f>SUMIFS('FY13-23 Full Data'!$AL27:$FA27,'FY13-23 Full Data'!$AL$2:$FA$2,'New Yearly Report'!F$1)</f>
        <v>888589.06483000005</v>
      </c>
      <c r="G28" s="215">
        <f>SUMIFS('FY13-23 Full Data'!$AL27:$FA27,'FY13-23 Full Data'!$AL$2:$FA$2,'New Yearly Report'!G$1)</f>
        <v>714410.51489999995</v>
      </c>
      <c r="H28" s="215">
        <f>SUMIFS('FY13-23 Full Data'!$AL27:$FA27,'FY13-23 Full Data'!$AL$2:$FA$2,'New Yearly Report'!H$1)</f>
        <v>697749.89360999991</v>
      </c>
      <c r="I28" s="215">
        <f>SUMIFS('FY13-23 Full Data'!$AL27:$FA27,'FY13-23 Full Data'!$AL$2:$FA$2,'New Yearly Report'!I$1)</f>
        <v>701566.81749000004</v>
      </c>
      <c r="J28" s="215">
        <f>SUMIFS('FY13-23 Full Data'!$AL27:$FA27,'FY13-23 Full Data'!$AL$2:$FA$2,'New Yearly Report'!J$1)</f>
        <v>703960.00274000003</v>
      </c>
      <c r="K28" s="215">
        <f>SUMIFS('FY13-23 Full Data'!$AL27:$FA27,'FY13-23 Full Data'!$AL$2:$FA$2,'New Yearly Report'!K$1)</f>
        <v>695887.41541000002</v>
      </c>
      <c r="L28" s="215">
        <f>SUMIFS('FY13-23 Full Data'!$AL27:$FA27,'FY13-23 Full Data'!$AL$2:$FA$2,'New Yearly Report'!L$1)</f>
        <v>1041008.65</v>
      </c>
      <c r="M28" s="215">
        <f>SUMIFS('FY13-23 Full Data'!$AL27:$FA27,'FY13-23 Full Data'!$AL$2:$FA$2,'New Yearly Report'!M$1)</f>
        <v>895216</v>
      </c>
    </row>
    <row r="29" spans="2:13" x14ac:dyDescent="0.25">
      <c r="B29" s="208" t="s">
        <v>162</v>
      </c>
      <c r="C29" s="208" t="s">
        <v>163</v>
      </c>
      <c r="D29" s="215">
        <f>SUMIFS('FY13-23 Full Data'!$AL28:$FA28,'FY13-23 Full Data'!$AL$2:$FA$2,'New Yearly Report'!D$1)</f>
        <v>1583812.7846000001</v>
      </c>
      <c r="E29" s="215">
        <f>SUMIFS('FY13-23 Full Data'!$AL28:$FA28,'FY13-23 Full Data'!$AL$2:$FA$2,'New Yearly Report'!E$1)</f>
        <v>1249830.14753</v>
      </c>
      <c r="F29" s="215">
        <f>SUMIFS('FY13-23 Full Data'!$AL28:$FA28,'FY13-23 Full Data'!$AL$2:$FA$2,'New Yearly Report'!F$1)</f>
        <v>1308239.9472699999</v>
      </c>
      <c r="G29" s="215">
        <f>SUMIFS('FY13-23 Full Data'!$AL28:$FA28,'FY13-23 Full Data'!$AL$2:$FA$2,'New Yearly Report'!G$1)</f>
        <v>1010037.61803</v>
      </c>
      <c r="H29" s="215">
        <f>SUMIFS('FY13-23 Full Data'!$AL28:$FA28,'FY13-23 Full Data'!$AL$2:$FA$2,'New Yearly Report'!H$1)</f>
        <v>1020193.0080799999</v>
      </c>
      <c r="I29" s="215">
        <f>SUMIFS('FY13-23 Full Data'!$AL28:$FA28,'FY13-23 Full Data'!$AL$2:$FA$2,'New Yearly Report'!I$1)</f>
        <v>900885</v>
      </c>
      <c r="J29" s="215">
        <f>SUMIFS('FY13-23 Full Data'!$AL28:$FA28,'FY13-23 Full Data'!$AL$2:$FA$2,'New Yearly Report'!J$1)</f>
        <v>1002581.2324799999</v>
      </c>
      <c r="K29" s="215">
        <f>SUMIFS('FY13-23 Full Data'!$AL28:$FA28,'FY13-23 Full Data'!$AL$2:$FA$2,'New Yearly Report'!K$1)</f>
        <v>957069.88277999999</v>
      </c>
      <c r="L29" s="215">
        <f>SUMIFS('FY13-23 Full Data'!$AL28:$FA28,'FY13-23 Full Data'!$AL$2:$FA$2,'New Yearly Report'!L$1)</f>
        <v>847120.85</v>
      </c>
      <c r="M29" s="215">
        <f>SUMIFS('FY13-23 Full Data'!$AL28:$FA28,'FY13-23 Full Data'!$AL$2:$FA$2,'New Yearly Report'!M$1)</f>
        <v>805203</v>
      </c>
    </row>
    <row r="30" spans="2:13" x14ac:dyDescent="0.25">
      <c r="B30" s="208" t="s">
        <v>164</v>
      </c>
      <c r="C30" s="208" t="s">
        <v>165</v>
      </c>
      <c r="D30" s="215">
        <f>SUMIFS('FY13-23 Full Data'!$AL29:$FA29,'FY13-23 Full Data'!$AL$2:$FA$2,'New Yearly Report'!D$1)</f>
        <v>1663126.3131500001</v>
      </c>
      <c r="E30" s="215">
        <f>SUMIFS('FY13-23 Full Data'!$AL29:$FA29,'FY13-23 Full Data'!$AL$2:$FA$2,'New Yearly Report'!E$1)</f>
        <v>1236846.3984599998</v>
      </c>
      <c r="F30" s="215">
        <f>SUMIFS('FY13-23 Full Data'!$AL29:$FA29,'FY13-23 Full Data'!$AL$2:$FA$2,'New Yearly Report'!F$1)</f>
        <v>1569634.2937600003</v>
      </c>
      <c r="G30" s="215">
        <f>SUMIFS('FY13-23 Full Data'!$AL29:$FA29,'FY13-23 Full Data'!$AL$2:$FA$2,'New Yearly Report'!G$1)</f>
        <v>1261011.97437</v>
      </c>
      <c r="H30" s="215">
        <f>SUMIFS('FY13-23 Full Data'!$AL29:$FA29,'FY13-23 Full Data'!$AL$2:$FA$2,'New Yearly Report'!H$1)</f>
        <v>1277843.8704000001</v>
      </c>
      <c r="I30" s="215">
        <f>SUMIFS('FY13-23 Full Data'!$AL29:$FA29,'FY13-23 Full Data'!$AL$2:$FA$2,'New Yearly Report'!I$1)</f>
        <v>1570346.3742300002</v>
      </c>
      <c r="J30" s="215">
        <f>SUMIFS('FY13-23 Full Data'!$AL29:$FA29,'FY13-23 Full Data'!$AL$2:$FA$2,'New Yearly Report'!J$1)</f>
        <v>1715881.18359</v>
      </c>
      <c r="K30" s="215">
        <f>SUMIFS('FY13-23 Full Data'!$AL29:$FA29,'FY13-23 Full Data'!$AL$2:$FA$2,'New Yearly Report'!K$1)</f>
        <v>1717845.60729</v>
      </c>
      <c r="L30" s="215">
        <f>SUMIFS('FY13-23 Full Data'!$AL29:$FA29,'FY13-23 Full Data'!$AL$2:$FA$2,'New Yearly Report'!L$1)</f>
        <v>1746236.8299999996</v>
      </c>
      <c r="M30" s="215">
        <f>SUMIFS('FY13-23 Full Data'!$AL29:$FA29,'FY13-23 Full Data'!$AL$2:$FA$2,'New Yearly Report'!M$1)</f>
        <v>1372414</v>
      </c>
    </row>
    <row r="31" spans="2:13" x14ac:dyDescent="0.25">
      <c r="B31" s="208" t="s">
        <v>166</v>
      </c>
      <c r="C31" s="208" t="s">
        <v>167</v>
      </c>
      <c r="D31" s="215">
        <f>SUMIFS('FY13-23 Full Data'!$AL30:$FA30,'FY13-23 Full Data'!$AL$2:$FA$2,'New Yearly Report'!D$1)</f>
        <v>3016104.1437200001</v>
      </c>
      <c r="E31" s="215">
        <f>SUMIFS('FY13-23 Full Data'!$AL30:$FA30,'FY13-23 Full Data'!$AL$2:$FA$2,'New Yearly Report'!E$1)</f>
        <v>2220454.92655</v>
      </c>
      <c r="F31" s="215">
        <f>SUMIFS('FY13-23 Full Data'!$AL30:$FA30,'FY13-23 Full Data'!$AL$2:$FA$2,'New Yearly Report'!F$1)</f>
        <v>2039567.9245499999</v>
      </c>
      <c r="G31" s="215">
        <f>SUMIFS('FY13-23 Full Data'!$AL30:$FA30,'FY13-23 Full Data'!$AL$2:$FA$2,'New Yearly Report'!G$1)</f>
        <v>1642183.42826</v>
      </c>
      <c r="H31" s="215">
        <f>SUMIFS('FY13-23 Full Data'!$AL30:$FA30,'FY13-23 Full Data'!$AL$2:$FA$2,'New Yearly Report'!H$1)</f>
        <v>1566714.86372</v>
      </c>
      <c r="I31" s="215">
        <f>SUMIFS('FY13-23 Full Data'!$AL30:$FA30,'FY13-23 Full Data'!$AL$2:$FA$2,'New Yearly Report'!I$1)</f>
        <v>1575959.72123</v>
      </c>
      <c r="J31" s="215">
        <f>SUMIFS('FY13-23 Full Data'!$AL30:$FA30,'FY13-23 Full Data'!$AL$2:$FA$2,'New Yearly Report'!J$1)</f>
        <v>1410952.7448099998</v>
      </c>
      <c r="K31" s="215">
        <f>SUMIFS('FY13-23 Full Data'!$AL30:$FA30,'FY13-23 Full Data'!$AL$2:$FA$2,'New Yearly Report'!K$1)</f>
        <v>1521087.3449899999</v>
      </c>
      <c r="L31" s="215">
        <f>SUMIFS('FY13-23 Full Data'!$AL30:$FA30,'FY13-23 Full Data'!$AL$2:$FA$2,'New Yearly Report'!L$1)</f>
        <v>1291060.2699999998</v>
      </c>
      <c r="M31" s="215">
        <f>SUMIFS('FY13-23 Full Data'!$AL30:$FA30,'FY13-23 Full Data'!$AL$2:$FA$2,'New Yearly Report'!M$1)</f>
        <v>1534893</v>
      </c>
    </row>
    <row r="32" spans="2:13" x14ac:dyDescent="0.25">
      <c r="B32" s="208" t="s">
        <v>169</v>
      </c>
      <c r="C32" s="208" t="s">
        <v>170</v>
      </c>
      <c r="D32" s="215">
        <f>SUMIFS('FY13-23 Full Data'!$AL31:$FA31,'FY13-23 Full Data'!$AL$2:$FA$2,'New Yearly Report'!D$1)</f>
        <v>106562.97734999999</v>
      </c>
      <c r="E32" s="215">
        <f>SUMIFS('FY13-23 Full Data'!$AL31:$FA31,'FY13-23 Full Data'!$AL$2:$FA$2,'New Yearly Report'!E$1)</f>
        <v>63810.327449999997</v>
      </c>
      <c r="F32" s="215">
        <f>SUMIFS('FY13-23 Full Data'!$AL31:$FA31,'FY13-23 Full Data'!$AL$2:$FA$2,'New Yearly Report'!F$1)</f>
        <v>67594.65367</v>
      </c>
      <c r="G32" s="215">
        <f>SUMIFS('FY13-23 Full Data'!$AL31:$FA31,'FY13-23 Full Data'!$AL$2:$FA$2,'New Yearly Report'!G$1)</f>
        <v>72708.460059999998</v>
      </c>
      <c r="H32" s="215">
        <f>SUMIFS('FY13-23 Full Data'!$AL31:$FA31,'FY13-23 Full Data'!$AL$2:$FA$2,'New Yearly Report'!H$1)</f>
        <v>67783.402449999994</v>
      </c>
      <c r="I32" s="215">
        <f>SUMIFS('FY13-23 Full Data'!$AL31:$FA31,'FY13-23 Full Data'!$AL$2:$FA$2,'New Yearly Report'!I$1)</f>
        <v>82823.716870000004</v>
      </c>
      <c r="J32" s="215">
        <f>SUMIFS('FY13-23 Full Data'!$AL31:$FA31,'FY13-23 Full Data'!$AL$2:$FA$2,'New Yearly Report'!J$1)</f>
        <v>74202.288210000013</v>
      </c>
      <c r="K32" s="215">
        <f>SUMIFS('FY13-23 Full Data'!$AL31:$FA31,'FY13-23 Full Data'!$AL$2:$FA$2,'New Yearly Report'!K$1)</f>
        <v>133292.01109999997</v>
      </c>
      <c r="L32" s="215">
        <f>SUMIFS('FY13-23 Full Data'!$AL31:$FA31,'FY13-23 Full Data'!$AL$2:$FA$2,'New Yearly Report'!L$1)</f>
        <v>253161.8</v>
      </c>
      <c r="M32" s="215">
        <f>SUMIFS('FY13-23 Full Data'!$AL31:$FA31,'FY13-23 Full Data'!$AL$2:$FA$2,'New Yearly Report'!M$1)</f>
        <v>148366</v>
      </c>
    </row>
    <row r="33" spans="2:13" x14ac:dyDescent="0.25">
      <c r="B33" s="208" t="s">
        <v>172</v>
      </c>
      <c r="C33" s="208" t="s">
        <v>173</v>
      </c>
      <c r="D33" s="215">
        <f>SUMIFS('FY13-23 Full Data'!$AL32:$FA32,'FY13-23 Full Data'!$AL$2:$FA$2,'New Yearly Report'!D$1)</f>
        <v>484655.01901999995</v>
      </c>
      <c r="E33" s="215">
        <f>SUMIFS('FY13-23 Full Data'!$AL32:$FA32,'FY13-23 Full Data'!$AL$2:$FA$2,'New Yearly Report'!E$1)</f>
        <v>533409.29877999995</v>
      </c>
      <c r="F33" s="215">
        <f>SUMIFS('FY13-23 Full Data'!$AL32:$FA32,'FY13-23 Full Data'!$AL$2:$FA$2,'New Yearly Report'!F$1)</f>
        <v>426958.27413999999</v>
      </c>
      <c r="G33" s="215">
        <f>SUMIFS('FY13-23 Full Data'!$AL32:$FA32,'FY13-23 Full Data'!$AL$2:$FA$2,'New Yearly Report'!G$1)</f>
        <v>581579.12203000009</v>
      </c>
      <c r="H33" s="215">
        <f>SUMIFS('FY13-23 Full Data'!$AL32:$FA32,'FY13-23 Full Data'!$AL$2:$FA$2,'New Yearly Report'!H$1)</f>
        <v>1015615.2470900001</v>
      </c>
      <c r="I33" s="215">
        <f>SUMIFS('FY13-23 Full Data'!$AL32:$FA32,'FY13-23 Full Data'!$AL$2:$FA$2,'New Yearly Report'!I$1)</f>
        <v>970091.60775000008</v>
      </c>
      <c r="J33" s="215">
        <f>SUMIFS('FY13-23 Full Data'!$AL32:$FA32,'FY13-23 Full Data'!$AL$2:$FA$2,'New Yearly Report'!J$1)</f>
        <v>677004.73637000006</v>
      </c>
      <c r="K33" s="215">
        <f>SUMIFS('FY13-23 Full Data'!$AL32:$FA32,'FY13-23 Full Data'!$AL$2:$FA$2,'New Yearly Report'!K$1)</f>
        <v>586526.43480000016</v>
      </c>
      <c r="L33" s="215">
        <f>SUMIFS('FY13-23 Full Data'!$AL32:$FA32,'FY13-23 Full Data'!$AL$2:$FA$2,'New Yearly Report'!L$1)</f>
        <v>358448.91000000003</v>
      </c>
      <c r="M33" s="215">
        <f>SUMIFS('FY13-23 Full Data'!$AL32:$FA32,'FY13-23 Full Data'!$AL$2:$FA$2,'New Yearly Report'!M$1)</f>
        <v>244464</v>
      </c>
    </row>
    <row r="34" spans="2:13" x14ac:dyDescent="0.25">
      <c r="B34" s="208" t="s">
        <v>174</v>
      </c>
      <c r="C34" s="208" t="s">
        <v>175</v>
      </c>
      <c r="D34" s="215">
        <f>SUMIFS('FY13-23 Full Data'!$AL33:$FA33,'FY13-23 Full Data'!$AL$2:$FA$2,'New Yearly Report'!D$1)</f>
        <v>102791.55773999999</v>
      </c>
      <c r="E34" s="215">
        <f>SUMIFS('FY13-23 Full Data'!$AL33:$FA33,'FY13-23 Full Data'!$AL$2:$FA$2,'New Yearly Report'!E$1)</f>
        <v>112658.35937000002</v>
      </c>
      <c r="F34" s="215">
        <f>SUMIFS('FY13-23 Full Data'!$AL33:$FA33,'FY13-23 Full Data'!$AL$2:$FA$2,'New Yearly Report'!F$1)</f>
        <v>109777.25349</v>
      </c>
      <c r="G34" s="215">
        <f>SUMIFS('FY13-23 Full Data'!$AL33:$FA33,'FY13-23 Full Data'!$AL$2:$FA$2,'New Yearly Report'!G$1)</f>
        <v>88616.435550000009</v>
      </c>
      <c r="H34" s="215">
        <f>SUMIFS('FY13-23 Full Data'!$AL33:$FA33,'FY13-23 Full Data'!$AL$2:$FA$2,'New Yearly Report'!H$1)</f>
        <v>42925.46011</v>
      </c>
      <c r="I34" s="215">
        <f>SUMIFS('FY13-23 Full Data'!$AL33:$FA33,'FY13-23 Full Data'!$AL$2:$FA$2,'New Yearly Report'!I$1)</f>
        <v>54122.304680000001</v>
      </c>
      <c r="J34" s="215">
        <f>SUMIFS('FY13-23 Full Data'!$AL33:$FA33,'FY13-23 Full Data'!$AL$2:$FA$2,'New Yearly Report'!J$1)</f>
        <v>48408.209549999992</v>
      </c>
      <c r="K34" s="215">
        <f>SUMIFS('FY13-23 Full Data'!$AL33:$FA33,'FY13-23 Full Data'!$AL$2:$FA$2,'New Yearly Report'!K$1)</f>
        <v>40041.768819999998</v>
      </c>
      <c r="L34" s="215">
        <f>SUMIFS('FY13-23 Full Data'!$AL33:$FA33,'FY13-23 Full Data'!$AL$2:$FA$2,'New Yearly Report'!L$1)</f>
        <v>64471.76</v>
      </c>
      <c r="M34" s="215">
        <f>SUMIFS('FY13-23 Full Data'!$AL33:$FA33,'FY13-23 Full Data'!$AL$2:$FA$2,'New Yearly Report'!M$1)</f>
        <v>36383</v>
      </c>
    </row>
    <row r="35" spans="2:13" x14ac:dyDescent="0.25">
      <c r="B35" s="208" t="s">
        <v>176</v>
      </c>
      <c r="C35" s="208" t="s">
        <v>177</v>
      </c>
      <c r="D35" s="215">
        <f>SUMIFS('FY13-23 Full Data'!$AL34:$FA34,'FY13-23 Full Data'!$AL$2:$FA$2,'New Yearly Report'!D$1)</f>
        <v>10851.535350000002</v>
      </c>
      <c r="E35" s="215">
        <f>SUMIFS('FY13-23 Full Data'!$AL34:$FA34,'FY13-23 Full Data'!$AL$2:$FA$2,'New Yearly Report'!E$1)</f>
        <v>3074.6957999999995</v>
      </c>
      <c r="F35" s="215">
        <f>SUMIFS('FY13-23 Full Data'!$AL34:$FA34,'FY13-23 Full Data'!$AL$2:$FA$2,'New Yearly Report'!F$1)</f>
        <v>6809.2140599999993</v>
      </c>
      <c r="G35" s="215">
        <f>SUMIFS('FY13-23 Full Data'!$AL34:$FA34,'FY13-23 Full Data'!$AL$2:$FA$2,'New Yearly Report'!G$1)</f>
        <v>18877.252510000002</v>
      </c>
      <c r="H35" s="215">
        <f>SUMIFS('FY13-23 Full Data'!$AL34:$FA34,'FY13-23 Full Data'!$AL$2:$FA$2,'New Yearly Report'!H$1)</f>
        <v>18521.779309999994</v>
      </c>
      <c r="I35" s="215">
        <f>SUMIFS('FY13-23 Full Data'!$AL34:$FA34,'FY13-23 Full Data'!$AL$2:$FA$2,'New Yearly Report'!I$1)</f>
        <v>7353.8241299999991</v>
      </c>
      <c r="J35" s="215">
        <f>SUMIFS('FY13-23 Full Data'!$AL34:$FA34,'FY13-23 Full Data'!$AL$2:$FA$2,'New Yearly Report'!J$1)</f>
        <v>14912.870509999999</v>
      </c>
      <c r="K35" s="215">
        <f>SUMIFS('FY13-23 Full Data'!$AL34:$FA34,'FY13-23 Full Data'!$AL$2:$FA$2,'New Yearly Report'!K$1)</f>
        <v>65976.183869999993</v>
      </c>
      <c r="L35" s="215">
        <f>SUMIFS('FY13-23 Full Data'!$AL34:$FA34,'FY13-23 Full Data'!$AL$2:$FA$2,'New Yearly Report'!L$1)</f>
        <v>44032.7</v>
      </c>
      <c r="M35" s="215">
        <f>SUMIFS('FY13-23 Full Data'!$AL34:$FA34,'FY13-23 Full Data'!$AL$2:$FA$2,'New Yearly Report'!M$1)</f>
        <v>35936</v>
      </c>
    </row>
    <row r="36" spans="2:13" x14ac:dyDescent="0.25">
      <c r="B36" s="208" t="s">
        <v>178</v>
      </c>
      <c r="C36" s="208" t="s">
        <v>179</v>
      </c>
      <c r="D36" s="215">
        <f>SUMIFS('FY13-23 Full Data'!$AL35:$FA35,'FY13-23 Full Data'!$AL$2:$FA$2,'New Yearly Report'!D$1)</f>
        <v>3015.009</v>
      </c>
      <c r="E36" s="215">
        <f>SUMIFS('FY13-23 Full Data'!$AL35:$FA35,'FY13-23 Full Data'!$AL$2:$FA$2,'New Yearly Report'!E$1)</f>
        <v>3117.7065999999995</v>
      </c>
      <c r="F36" s="215">
        <f>SUMIFS('FY13-23 Full Data'!$AL35:$FA35,'FY13-23 Full Data'!$AL$2:$FA$2,'New Yearly Report'!F$1)</f>
        <v>7853.4603999999999</v>
      </c>
      <c r="G36" s="215">
        <f>SUMIFS('FY13-23 Full Data'!$AL35:$FA35,'FY13-23 Full Data'!$AL$2:$FA$2,'New Yearly Report'!G$1)</f>
        <v>12333.3956</v>
      </c>
      <c r="H36" s="215">
        <f>SUMIFS('FY13-23 Full Data'!$AL35:$FA35,'FY13-23 Full Data'!$AL$2:$FA$2,'New Yearly Report'!H$1)</f>
        <v>3040.8</v>
      </c>
      <c r="I36" s="215">
        <f>SUMIFS('FY13-23 Full Data'!$AL35:$FA35,'FY13-23 Full Data'!$AL$2:$FA$2,'New Yearly Report'!I$1)</f>
        <v>1963.29</v>
      </c>
      <c r="J36" s="215">
        <f>SUMIFS('FY13-23 Full Data'!$AL35:$FA35,'FY13-23 Full Data'!$AL$2:$FA$2,'New Yearly Report'!J$1)</f>
        <v>2008.6</v>
      </c>
      <c r="K36" s="215">
        <f>SUMIFS('FY13-23 Full Data'!$AL35:$FA35,'FY13-23 Full Data'!$AL$2:$FA$2,'New Yearly Report'!K$1)</f>
        <v>35964.219840000005</v>
      </c>
      <c r="L36" s="215">
        <f>SUMIFS('FY13-23 Full Data'!$AL35:$FA35,'FY13-23 Full Data'!$AL$2:$FA$2,'New Yearly Report'!L$1)</f>
        <v>51646</v>
      </c>
      <c r="M36" s="215">
        <f>SUMIFS('FY13-23 Full Data'!$AL35:$FA35,'FY13-23 Full Data'!$AL$2:$FA$2,'New Yearly Report'!M$1)</f>
        <v>23173</v>
      </c>
    </row>
    <row r="37" spans="2:13" x14ac:dyDescent="0.25">
      <c r="B37" s="208" t="s">
        <v>180</v>
      </c>
      <c r="C37" s="208" t="s">
        <v>181</v>
      </c>
      <c r="D37" s="215">
        <f>SUMIFS('FY13-23 Full Data'!$AL36:$FA36,'FY13-23 Full Data'!$AL$2:$FA$2,'New Yearly Report'!D$1)</f>
        <v>0</v>
      </c>
      <c r="E37" s="215">
        <f>SUMIFS('FY13-23 Full Data'!$AL36:$FA36,'FY13-23 Full Data'!$AL$2:$FA$2,'New Yearly Report'!E$1)</f>
        <v>0</v>
      </c>
      <c r="F37" s="215">
        <f>SUMIFS('FY13-23 Full Data'!$AL36:$FA36,'FY13-23 Full Data'!$AL$2:$FA$2,'New Yearly Report'!F$1)</f>
        <v>0</v>
      </c>
      <c r="G37" s="215">
        <f>SUMIFS('FY13-23 Full Data'!$AL36:$FA36,'FY13-23 Full Data'!$AL$2:$FA$2,'New Yearly Report'!G$1)</f>
        <v>0</v>
      </c>
      <c r="H37" s="215">
        <f>SUMIFS('FY13-23 Full Data'!$AL36:$FA36,'FY13-23 Full Data'!$AL$2:$FA$2,'New Yearly Report'!H$1)</f>
        <v>0</v>
      </c>
      <c r="I37" s="215">
        <f>SUMIFS('FY13-23 Full Data'!$AL36:$FA36,'FY13-23 Full Data'!$AL$2:$FA$2,'New Yearly Report'!I$1)</f>
        <v>0</v>
      </c>
      <c r="J37" s="215">
        <f>SUMIFS('FY13-23 Full Data'!$AL36:$FA36,'FY13-23 Full Data'!$AL$2:$FA$2,'New Yearly Report'!J$1)</f>
        <v>0</v>
      </c>
      <c r="K37" s="215">
        <f>SUMIFS('FY13-23 Full Data'!$AL36:$FA36,'FY13-23 Full Data'!$AL$2:$FA$2,'New Yearly Report'!K$1)</f>
        <v>0</v>
      </c>
      <c r="L37" s="215">
        <f>SUMIFS('FY13-23 Full Data'!$AL36:$FA36,'FY13-23 Full Data'!$AL$2:$FA$2,'New Yearly Report'!L$1)</f>
        <v>7076.65</v>
      </c>
      <c r="M37" s="215">
        <f>SUMIFS('FY13-23 Full Data'!$AL36:$FA36,'FY13-23 Full Data'!$AL$2:$FA$2,'New Yearly Report'!M$1)</f>
        <v>15168</v>
      </c>
    </row>
  </sheetData>
  <conditionalFormatting sqref="B6:M37">
    <cfRule type="expression" dxfId="102" priority="1">
      <formula>MOD(ROW(),2)</formula>
    </cfRule>
  </conditionalFormatting>
  <pageMargins left="0.7" right="0.7" top="0.75" bottom="0.75" header="0.3" footer="0.3"/>
  <pageSetup paperSize="5" scale="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89B3-F118-4825-823E-A10293426D1A}">
  <sheetPr>
    <pageSetUpPr fitToPage="1"/>
  </sheetPr>
  <dimension ref="B1:AQ39"/>
  <sheetViews>
    <sheetView view="pageBreakPreview" zoomScale="60" zoomScaleNormal="100" workbookViewId="0">
      <selection activeCell="AM20" sqref="AM20"/>
    </sheetView>
  </sheetViews>
  <sheetFormatPr defaultRowHeight="13.5" outlineLevelCol="1" x14ac:dyDescent="0.25"/>
  <cols>
    <col min="1" max="1" width="9.140625" style="204"/>
    <col min="2" max="2" width="15.7109375" style="204" customWidth="1"/>
    <col min="3" max="3" width="25.7109375" style="204" customWidth="1"/>
    <col min="4" max="4" width="10.140625" style="204" hidden="1" customWidth="1" outlineLevel="1"/>
    <col min="5" max="6" width="11.7109375" style="204" hidden="1" customWidth="1" outlineLevel="1"/>
    <col min="7" max="8" width="10.140625" style="204" hidden="1" customWidth="1" outlineLevel="1"/>
    <col min="9" max="10" width="11.7109375" style="204" hidden="1" customWidth="1" outlineLevel="1"/>
    <col min="11" max="12" width="10.140625" style="204" hidden="1" customWidth="1" outlineLevel="1"/>
    <col min="13" max="14" width="11.7109375" style="204" hidden="1" customWidth="1" outlineLevel="1"/>
    <col min="15" max="16" width="10.140625" style="204" hidden="1" customWidth="1" outlineLevel="1"/>
    <col min="17" max="18" width="11.7109375" style="204" hidden="1" customWidth="1" outlineLevel="1"/>
    <col min="19" max="20" width="10.140625" style="204" hidden="1" customWidth="1" outlineLevel="1"/>
    <col min="21" max="22" width="11.7109375" style="204" hidden="1" customWidth="1" outlineLevel="1"/>
    <col min="23" max="24" width="10.140625" style="204" hidden="1" customWidth="1" outlineLevel="1"/>
    <col min="25" max="26" width="11.7109375" style="204" hidden="1" customWidth="1" outlineLevel="1"/>
    <col min="27" max="28" width="10.140625" style="204" hidden="1" customWidth="1" outlineLevel="1"/>
    <col min="29" max="30" width="11.7109375" style="204" hidden="1" customWidth="1" outlineLevel="1"/>
    <col min="31" max="31" width="10.140625" style="204" hidden="1" customWidth="1" outlineLevel="1"/>
    <col min="32" max="32" width="9.7109375" style="204" customWidth="1" collapsed="1"/>
    <col min="33" max="43" width="9.7109375" style="204" customWidth="1"/>
    <col min="44" max="16384" width="9.140625" style="204"/>
  </cols>
  <sheetData>
    <row r="1" spans="2:43" ht="15" x14ac:dyDescent="0.25">
      <c r="C1" t="s">
        <v>208</v>
      </c>
      <c r="D1">
        <v>14</v>
      </c>
      <c r="E1">
        <f>D1</f>
        <v>14</v>
      </c>
      <c r="F1">
        <f>E1</f>
        <v>14</v>
      </c>
      <c r="G1">
        <f>F1</f>
        <v>14</v>
      </c>
      <c r="H1">
        <f>D1+1</f>
        <v>15</v>
      </c>
      <c r="I1">
        <f t="shared" ref="I1:AE1" si="0">E1+1</f>
        <v>15</v>
      </c>
      <c r="J1">
        <f t="shared" si="0"/>
        <v>15</v>
      </c>
      <c r="K1">
        <f t="shared" si="0"/>
        <v>15</v>
      </c>
      <c r="L1">
        <f t="shared" si="0"/>
        <v>16</v>
      </c>
      <c r="M1">
        <f t="shared" si="0"/>
        <v>16</v>
      </c>
      <c r="N1">
        <f t="shared" si="0"/>
        <v>16</v>
      </c>
      <c r="O1">
        <f t="shared" si="0"/>
        <v>16</v>
      </c>
      <c r="P1">
        <f t="shared" si="0"/>
        <v>17</v>
      </c>
      <c r="Q1">
        <f t="shared" si="0"/>
        <v>17</v>
      </c>
      <c r="R1">
        <f t="shared" si="0"/>
        <v>17</v>
      </c>
      <c r="S1">
        <f t="shared" si="0"/>
        <v>17</v>
      </c>
      <c r="T1">
        <f t="shared" si="0"/>
        <v>18</v>
      </c>
      <c r="U1">
        <f t="shared" si="0"/>
        <v>18</v>
      </c>
      <c r="V1">
        <f t="shared" si="0"/>
        <v>18</v>
      </c>
      <c r="W1">
        <f t="shared" si="0"/>
        <v>18</v>
      </c>
      <c r="X1">
        <f t="shared" si="0"/>
        <v>19</v>
      </c>
      <c r="Y1">
        <f t="shared" si="0"/>
        <v>19</v>
      </c>
      <c r="Z1">
        <f t="shared" si="0"/>
        <v>19</v>
      </c>
      <c r="AA1">
        <f t="shared" si="0"/>
        <v>19</v>
      </c>
      <c r="AB1">
        <f t="shared" si="0"/>
        <v>20</v>
      </c>
      <c r="AC1">
        <f t="shared" si="0"/>
        <v>20</v>
      </c>
      <c r="AD1">
        <f t="shared" si="0"/>
        <v>20</v>
      </c>
      <c r="AE1">
        <f t="shared" si="0"/>
        <v>20</v>
      </c>
      <c r="AF1">
        <f t="shared" ref="AF1" si="1">AB1+1</f>
        <v>21</v>
      </c>
      <c r="AG1">
        <f t="shared" ref="AG1" si="2">AC1+1</f>
        <v>21</v>
      </c>
      <c r="AH1">
        <f t="shared" ref="AH1" si="3">AD1+1</f>
        <v>21</v>
      </c>
      <c r="AI1">
        <f t="shared" ref="AI1" si="4">AE1+1</f>
        <v>21</v>
      </c>
      <c r="AJ1">
        <f t="shared" ref="AJ1" si="5">AF1+1</f>
        <v>22</v>
      </c>
      <c r="AK1">
        <f t="shared" ref="AK1" si="6">AG1+1</f>
        <v>22</v>
      </c>
      <c r="AL1">
        <f t="shared" ref="AL1" si="7">AH1+1</f>
        <v>22</v>
      </c>
      <c r="AM1">
        <f t="shared" ref="AM1" si="8">AI1+1</f>
        <v>22</v>
      </c>
      <c r="AN1">
        <f t="shared" ref="AN1" si="9">AJ1+1</f>
        <v>23</v>
      </c>
      <c r="AO1">
        <f t="shared" ref="AO1" si="10">AK1+1</f>
        <v>23</v>
      </c>
      <c r="AP1">
        <f t="shared" ref="AP1" si="11">AL1+1</f>
        <v>23</v>
      </c>
      <c r="AQ1">
        <f t="shared" ref="AQ1" si="12">AM1+1</f>
        <v>23</v>
      </c>
    </row>
    <row r="2" spans="2:43" ht="15" x14ac:dyDescent="0.25">
      <c r="C2" t="s">
        <v>209</v>
      </c>
      <c r="D2">
        <v>1</v>
      </c>
      <c r="E2">
        <f>D2+1</f>
        <v>2</v>
      </c>
      <c r="F2">
        <f>E2+1</f>
        <v>3</v>
      </c>
      <c r="G2">
        <f>F2+1</f>
        <v>4</v>
      </c>
      <c r="H2">
        <f>D2</f>
        <v>1</v>
      </c>
      <c r="I2">
        <f t="shared" ref="I2:AE2" si="13">E2</f>
        <v>2</v>
      </c>
      <c r="J2">
        <f t="shared" si="13"/>
        <v>3</v>
      </c>
      <c r="K2">
        <f t="shared" si="13"/>
        <v>4</v>
      </c>
      <c r="L2">
        <f t="shared" si="13"/>
        <v>1</v>
      </c>
      <c r="M2">
        <f t="shared" si="13"/>
        <v>2</v>
      </c>
      <c r="N2">
        <f t="shared" si="13"/>
        <v>3</v>
      </c>
      <c r="O2">
        <f t="shared" si="13"/>
        <v>4</v>
      </c>
      <c r="P2">
        <f t="shared" si="13"/>
        <v>1</v>
      </c>
      <c r="Q2">
        <f t="shared" si="13"/>
        <v>2</v>
      </c>
      <c r="R2">
        <f t="shared" si="13"/>
        <v>3</v>
      </c>
      <c r="S2">
        <f t="shared" si="13"/>
        <v>4</v>
      </c>
      <c r="T2">
        <f t="shared" si="13"/>
        <v>1</v>
      </c>
      <c r="U2">
        <f t="shared" si="13"/>
        <v>2</v>
      </c>
      <c r="V2">
        <f t="shared" si="13"/>
        <v>3</v>
      </c>
      <c r="W2">
        <f t="shared" si="13"/>
        <v>4</v>
      </c>
      <c r="X2">
        <f t="shared" si="13"/>
        <v>1</v>
      </c>
      <c r="Y2">
        <f t="shared" si="13"/>
        <v>2</v>
      </c>
      <c r="Z2">
        <f t="shared" si="13"/>
        <v>3</v>
      </c>
      <c r="AA2">
        <f t="shared" si="13"/>
        <v>4</v>
      </c>
      <c r="AB2">
        <f t="shared" si="13"/>
        <v>1</v>
      </c>
      <c r="AC2">
        <f t="shared" si="13"/>
        <v>2</v>
      </c>
      <c r="AD2">
        <f t="shared" si="13"/>
        <v>3</v>
      </c>
      <c r="AE2">
        <f t="shared" si="13"/>
        <v>4</v>
      </c>
      <c r="AF2">
        <f t="shared" ref="AF2" si="14">AB2</f>
        <v>1</v>
      </c>
      <c r="AG2">
        <f t="shared" ref="AG2" si="15">AC2</f>
        <v>2</v>
      </c>
      <c r="AH2">
        <f t="shared" ref="AH2" si="16">AD2</f>
        <v>3</v>
      </c>
      <c r="AI2">
        <f t="shared" ref="AI2" si="17">AE2</f>
        <v>4</v>
      </c>
      <c r="AJ2">
        <f t="shared" ref="AJ2" si="18">AF2</f>
        <v>1</v>
      </c>
      <c r="AK2">
        <f t="shared" ref="AK2" si="19">AG2</f>
        <v>2</v>
      </c>
      <c r="AL2">
        <f t="shared" ref="AL2" si="20">AH2</f>
        <v>3</v>
      </c>
      <c r="AM2">
        <f t="shared" ref="AM2" si="21">AI2</f>
        <v>4</v>
      </c>
      <c r="AN2">
        <f t="shared" ref="AN2" si="22">AJ2</f>
        <v>1</v>
      </c>
      <c r="AO2">
        <f t="shared" ref="AO2" si="23">AK2</f>
        <v>2</v>
      </c>
      <c r="AP2">
        <f t="shared" ref="AP2" si="24">AL2</f>
        <v>3</v>
      </c>
      <c r="AQ2">
        <f t="shared" ref="AQ2" si="25">AM2</f>
        <v>4</v>
      </c>
    </row>
    <row r="4" spans="2:43" ht="14.25" thickBot="1" x14ac:dyDescent="0.3">
      <c r="B4" s="209" t="s">
        <v>212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</row>
    <row r="5" spans="2:43" ht="14.25" thickBot="1" x14ac:dyDescent="0.3">
      <c r="B5" s="205" t="s">
        <v>210</v>
      </c>
    </row>
    <row r="6" spans="2:43" ht="14.25" thickBot="1" x14ac:dyDescent="0.3">
      <c r="D6" s="211">
        <v>2014</v>
      </c>
      <c r="E6" s="211"/>
      <c r="F6" s="211"/>
      <c r="G6" s="211"/>
      <c r="H6" s="214">
        <f>D6+1</f>
        <v>2015</v>
      </c>
      <c r="I6" s="214"/>
      <c r="J6" s="214"/>
      <c r="K6" s="214"/>
      <c r="L6" s="216">
        <f>H6+1</f>
        <v>2016</v>
      </c>
      <c r="M6" s="216"/>
      <c r="N6" s="216"/>
      <c r="O6" s="216"/>
      <c r="P6" s="211">
        <f>L6+1</f>
        <v>2017</v>
      </c>
      <c r="Q6" s="211"/>
      <c r="R6" s="211"/>
      <c r="S6" s="211"/>
      <c r="T6" s="214">
        <f>P6+1</f>
        <v>2018</v>
      </c>
      <c r="U6" s="214"/>
      <c r="V6" s="214"/>
      <c r="W6" s="214"/>
      <c r="X6" s="216">
        <f>T6+1</f>
        <v>2019</v>
      </c>
      <c r="Y6" s="216"/>
      <c r="Z6" s="216"/>
      <c r="AA6" s="216"/>
      <c r="AB6" s="211">
        <f>X6+1</f>
        <v>2020</v>
      </c>
      <c r="AC6" s="211"/>
      <c r="AD6" s="211"/>
      <c r="AE6" s="211"/>
      <c r="AF6" s="218">
        <f>AB6+1</f>
        <v>2021</v>
      </c>
      <c r="AG6" s="218"/>
      <c r="AH6" s="218"/>
      <c r="AI6" s="218"/>
      <c r="AJ6" s="214">
        <f>AF6+1</f>
        <v>2022</v>
      </c>
      <c r="AK6" s="214"/>
      <c r="AL6" s="214"/>
      <c r="AM6" s="214"/>
      <c r="AN6" s="211">
        <f>AJ6+1</f>
        <v>2023</v>
      </c>
      <c r="AO6" s="211"/>
      <c r="AP6" s="211"/>
      <c r="AQ6" s="211"/>
    </row>
    <row r="7" spans="2:43" ht="14.25" thickBot="1" x14ac:dyDescent="0.3">
      <c r="D7" s="212" t="s">
        <v>203</v>
      </c>
      <c r="E7" s="213" t="s">
        <v>204</v>
      </c>
      <c r="F7" s="213" t="s">
        <v>205</v>
      </c>
      <c r="G7" s="213" t="s">
        <v>206</v>
      </c>
      <c r="H7" s="212" t="s">
        <v>203</v>
      </c>
      <c r="I7" s="213" t="s">
        <v>204</v>
      </c>
      <c r="J7" s="213" t="s">
        <v>205</v>
      </c>
      <c r="K7" s="213" t="s">
        <v>206</v>
      </c>
      <c r="L7" s="212" t="s">
        <v>203</v>
      </c>
      <c r="M7" s="213" t="s">
        <v>204</v>
      </c>
      <c r="N7" s="213" t="s">
        <v>205</v>
      </c>
      <c r="O7" s="213" t="s">
        <v>206</v>
      </c>
      <c r="P7" s="212" t="s">
        <v>203</v>
      </c>
      <c r="Q7" s="213" t="s">
        <v>204</v>
      </c>
      <c r="R7" s="213" t="s">
        <v>205</v>
      </c>
      <c r="S7" s="213" t="s">
        <v>206</v>
      </c>
      <c r="T7" s="212" t="s">
        <v>203</v>
      </c>
      <c r="U7" s="213" t="s">
        <v>204</v>
      </c>
      <c r="V7" s="213" t="s">
        <v>205</v>
      </c>
      <c r="W7" s="213" t="s">
        <v>206</v>
      </c>
      <c r="X7" s="212" t="s">
        <v>203</v>
      </c>
      <c r="Y7" s="213" t="s">
        <v>204</v>
      </c>
      <c r="Z7" s="213" t="s">
        <v>205</v>
      </c>
      <c r="AA7" s="213" t="s">
        <v>206</v>
      </c>
      <c r="AB7" s="212" t="s">
        <v>203</v>
      </c>
      <c r="AC7" s="213" t="s">
        <v>204</v>
      </c>
      <c r="AD7" s="213" t="s">
        <v>205</v>
      </c>
      <c r="AE7" s="213" t="s">
        <v>206</v>
      </c>
      <c r="AF7" s="219" t="s">
        <v>203</v>
      </c>
      <c r="AG7" s="220" t="s">
        <v>204</v>
      </c>
      <c r="AH7" s="220" t="s">
        <v>205</v>
      </c>
      <c r="AI7" s="220" t="s">
        <v>206</v>
      </c>
      <c r="AJ7" s="219" t="s">
        <v>203</v>
      </c>
      <c r="AK7" s="220" t="s">
        <v>204</v>
      </c>
      <c r="AL7" s="220" t="s">
        <v>205</v>
      </c>
      <c r="AM7" s="220" t="s">
        <v>206</v>
      </c>
      <c r="AN7" s="219" t="s">
        <v>203</v>
      </c>
      <c r="AO7" s="220" t="s">
        <v>204</v>
      </c>
      <c r="AP7" s="220" t="s">
        <v>205</v>
      </c>
      <c r="AQ7" s="220" t="s">
        <v>206</v>
      </c>
    </row>
    <row r="8" spans="2:43" x14ac:dyDescent="0.25">
      <c r="B8" s="206" t="s">
        <v>115</v>
      </c>
      <c r="C8" s="207" t="s">
        <v>116</v>
      </c>
      <c r="D8" s="215">
        <f>SUMIFS('FY13-23 Full Data'!$AL5:$FA5,'FY13-23 Full Data'!$AL$2:$FA$2,'New Quarterly Report'!D$1,'FY13-23 Full Data'!$AL$3:$FA$3,'New Quarterly Report'!D$2)</f>
        <v>24890</v>
      </c>
      <c r="E8" s="215">
        <f>SUMIFS('FY13-23 Full Data'!$AL5:$FA5,'FY13-23 Full Data'!$AL$2:$FA$2,'New Quarterly Report'!E$1,'FY13-23 Full Data'!$AL$3:$FA$3,'New Quarterly Report'!E$2)</f>
        <v>13911.09995</v>
      </c>
      <c r="F8" s="215">
        <f>SUMIFS('FY13-23 Full Data'!$AL5:$FA5,'FY13-23 Full Data'!$AL$2:$FA$2,'New Quarterly Report'!F$1,'FY13-23 Full Data'!$AL$3:$FA$3,'New Quarterly Report'!F$2)</f>
        <v>44404.403999999995</v>
      </c>
      <c r="G8" s="215">
        <f>SUMIFS('FY13-23 Full Data'!$AL5:$FA5,'FY13-23 Full Data'!$AL$2:$FA$2,'New Quarterly Report'!G$1,'FY13-23 Full Data'!$AL$3:$FA$3,'New Quarterly Report'!G$2)</f>
        <v>9453.5658999999996</v>
      </c>
      <c r="H8" s="215">
        <f>SUMIFS('FY13-23 Full Data'!$AL5:$FA5,'FY13-23 Full Data'!$AL$2:$FA$2,'New Quarterly Report'!H$1,'FY13-23 Full Data'!$AL$3:$FA$3,'New Quarterly Report'!H$2)</f>
        <v>9511.5133500000011</v>
      </c>
      <c r="I8" s="215">
        <f>SUMIFS('FY13-23 Full Data'!$AL5:$FA5,'FY13-23 Full Data'!$AL$2:$FA$2,'New Quarterly Report'!I$1,'FY13-23 Full Data'!$AL$3:$FA$3,'New Quarterly Report'!I$2)</f>
        <v>16040.223399999999</v>
      </c>
      <c r="J8" s="215">
        <f>SUMIFS('FY13-23 Full Data'!$AL5:$FA5,'FY13-23 Full Data'!$AL$2:$FA$2,'New Quarterly Report'!J$1,'FY13-23 Full Data'!$AL$3:$FA$3,'New Quarterly Report'!J$2)</f>
        <v>40039.223600000005</v>
      </c>
      <c r="K8" s="215">
        <f>SUMIFS('FY13-23 Full Data'!$AL5:$FA5,'FY13-23 Full Data'!$AL$2:$FA$2,'New Quarterly Report'!K$1,'FY13-23 Full Data'!$AL$3:$FA$3,'New Quarterly Report'!K$2)</f>
        <v>11313.3493</v>
      </c>
      <c r="L8" s="215">
        <f>SUMIFS('FY13-23 Full Data'!$AL5:$FA5,'FY13-23 Full Data'!$AL$2:$FA$2,'New Quarterly Report'!L$1,'FY13-23 Full Data'!$AL$3:$FA$3,'New Quarterly Report'!L$2)</f>
        <v>11510.371500000001</v>
      </c>
      <c r="M8" s="215">
        <f>SUMIFS('FY13-23 Full Data'!$AL5:$FA5,'FY13-23 Full Data'!$AL$2:$FA$2,'New Quarterly Report'!M$1,'FY13-23 Full Data'!$AL$3:$FA$3,'New Quarterly Report'!M$2)</f>
        <v>81745.638399999996</v>
      </c>
      <c r="N8" s="215">
        <f>SUMIFS('FY13-23 Full Data'!$AL5:$FA5,'FY13-23 Full Data'!$AL$2:$FA$2,'New Quarterly Report'!N$1,'FY13-23 Full Data'!$AL$3:$FA$3,'New Quarterly Report'!N$2)</f>
        <v>4602.7663499999999</v>
      </c>
      <c r="O8" s="215">
        <f>SUMIFS('FY13-23 Full Data'!$AL5:$FA5,'FY13-23 Full Data'!$AL$2:$FA$2,'New Quarterly Report'!O$1,'FY13-23 Full Data'!$AL$3:$FA$3,'New Quarterly Report'!O$2)</f>
        <v>60469.192450000017</v>
      </c>
      <c r="P8" s="215">
        <f>SUMIFS('FY13-23 Full Data'!$AL5:$FA5,'FY13-23 Full Data'!$AL$2:$FA$2,'New Quarterly Report'!P$1,'FY13-23 Full Data'!$AL$3:$FA$3,'New Quarterly Report'!P$2)</f>
        <v>12494.667819999999</v>
      </c>
      <c r="Q8" s="215">
        <f>SUMIFS('FY13-23 Full Data'!$AL5:$FA5,'FY13-23 Full Data'!$AL$2:$FA$2,'New Quarterly Report'!Q$1,'FY13-23 Full Data'!$AL$3:$FA$3,'New Quarterly Report'!Q$2)</f>
        <v>154645.1262</v>
      </c>
      <c r="R8" s="215">
        <f>SUMIFS('FY13-23 Full Data'!$AL5:$FA5,'FY13-23 Full Data'!$AL$2:$FA$2,'New Quarterly Report'!R$1,'FY13-23 Full Data'!$AL$3:$FA$3,'New Quarterly Report'!R$2)</f>
        <v>37362.711899999995</v>
      </c>
      <c r="S8" s="215">
        <f>SUMIFS('FY13-23 Full Data'!$AL5:$FA5,'FY13-23 Full Data'!$AL$2:$FA$2,'New Quarterly Report'!S$1,'FY13-23 Full Data'!$AL$3:$FA$3,'New Quarterly Report'!S$2)</f>
        <v>184517.17086000001</v>
      </c>
      <c r="T8" s="215">
        <f>SUMIFS('FY13-23 Full Data'!$AL5:$FA5,'FY13-23 Full Data'!$AL$2:$FA$2,'New Quarterly Report'!T$1,'FY13-23 Full Data'!$AL$3:$FA$3,'New Quarterly Report'!T$2)</f>
        <v>43353.127179999996</v>
      </c>
      <c r="U8" s="215">
        <f>SUMIFS('FY13-23 Full Data'!$AL5:$FA5,'FY13-23 Full Data'!$AL$2:$FA$2,'New Quarterly Report'!U$1,'FY13-23 Full Data'!$AL$3:$FA$3,'New Quarterly Report'!U$2)</f>
        <v>206379.45680000001</v>
      </c>
      <c r="V8" s="215">
        <f>SUMIFS('FY13-23 Full Data'!$AL5:$FA5,'FY13-23 Full Data'!$AL$2:$FA$2,'New Quarterly Report'!V$1,'FY13-23 Full Data'!$AL$3:$FA$3,'New Quarterly Report'!V$2)</f>
        <v>114537.5671</v>
      </c>
      <c r="W8" s="215">
        <f>SUMIFS('FY13-23 Full Data'!$AL5:$FA5,'FY13-23 Full Data'!$AL$2:$FA$2,'New Quarterly Report'!W$1,'FY13-23 Full Data'!$AL$3:$FA$3,'New Quarterly Report'!W$2)</f>
        <v>37224.982799999998</v>
      </c>
      <c r="X8" s="215">
        <f>SUMIFS('FY13-23 Full Data'!$AL5:$FA5,'FY13-23 Full Data'!$AL$2:$FA$2,'New Quarterly Report'!X$1,'FY13-23 Full Data'!$AL$3:$FA$3,'New Quarterly Report'!X$2)</f>
        <v>27350.750400000004</v>
      </c>
      <c r="Y8" s="215">
        <f>SUMIFS('FY13-23 Full Data'!$AL5:$FA5,'FY13-23 Full Data'!$AL$2:$FA$2,'New Quarterly Report'!Y$1,'FY13-23 Full Data'!$AL$3:$FA$3,'New Quarterly Report'!Y$2)</f>
        <v>637.47749999999996</v>
      </c>
      <c r="Z8" s="215">
        <f>SUMIFS('FY13-23 Full Data'!$AL5:$FA5,'FY13-23 Full Data'!$AL$2:$FA$2,'New Quarterly Report'!Z$1,'FY13-23 Full Data'!$AL$3:$FA$3,'New Quarterly Report'!Z$2)</f>
        <v>11374.1908</v>
      </c>
      <c r="AA8" s="215">
        <f>SUMIFS('FY13-23 Full Data'!$AL5:$FA5,'FY13-23 Full Data'!$AL$2:$FA$2,'New Quarterly Report'!AA$1,'FY13-23 Full Data'!$AL$3:$FA$3,'New Quarterly Report'!AA$2)</f>
        <v>65434.069299999996</v>
      </c>
      <c r="AB8" s="215">
        <f>SUMIFS('FY13-23 Full Data'!$AL5:$FA5,'FY13-23 Full Data'!$AL$2:$FA$2,'New Quarterly Report'!AB$1,'FY13-23 Full Data'!$AL$3:$FA$3,'New Quarterly Report'!AB$2)</f>
        <v>6816.5884999999998</v>
      </c>
      <c r="AC8" s="215">
        <f>SUMIFS('FY13-23 Full Data'!$AL5:$FA5,'FY13-23 Full Data'!$AL$2:$FA$2,'New Quarterly Report'!AC$1,'FY13-23 Full Data'!$AL$3:$FA$3,'New Quarterly Report'!AC$2)</f>
        <v>122236.2844</v>
      </c>
      <c r="AD8" s="215">
        <f>SUMIFS('FY13-23 Full Data'!$AL5:$FA5,'FY13-23 Full Data'!$AL$2:$FA$2,'New Quarterly Report'!AD$1,'FY13-23 Full Data'!$AL$3:$FA$3,'New Quarterly Report'!AD$2)</f>
        <v>148967.19439999998</v>
      </c>
      <c r="AE8" s="215">
        <f>SUMIFS('FY13-23 Full Data'!$AL5:$FA5,'FY13-23 Full Data'!$AL$2:$FA$2,'New Quarterly Report'!AE$1,'FY13-23 Full Data'!$AL$3:$FA$3,'New Quarterly Report'!AE$2)</f>
        <v>6356.3449000000001</v>
      </c>
      <c r="AF8" s="215">
        <f>SUMIFS('FY13-23 Full Data'!$AL5:$FA5,'FY13-23 Full Data'!$AL$2:$FA$2,'New Quarterly Report'!AF$1,'FY13-23 Full Data'!$AL$3:$FA$3,'New Quarterly Report'!AF$2)</f>
        <v>33968.14415</v>
      </c>
      <c r="AG8" s="215">
        <f>SUMIFS('FY13-23 Full Data'!$AL5:$FA5,'FY13-23 Full Data'!$AL$2:$FA$2,'New Quarterly Report'!AG$1,'FY13-23 Full Data'!$AL$3:$FA$3,'New Quarterly Report'!AG$2)</f>
        <v>94955.059360000014</v>
      </c>
      <c r="AH8" s="215">
        <f>SUMIFS('FY13-23 Full Data'!$AL5:$FA5,'FY13-23 Full Data'!$AL$2:$FA$2,'New Quarterly Report'!AH$1,'FY13-23 Full Data'!$AL$3:$FA$3,'New Quarterly Report'!AH$2)</f>
        <v>402920.44079999998</v>
      </c>
      <c r="AI8" s="215">
        <f>SUMIFS('FY13-23 Full Data'!$AL5:$FA5,'FY13-23 Full Data'!$AL$2:$FA$2,'New Quarterly Report'!AI$1,'FY13-23 Full Data'!$AL$3:$FA$3,'New Quarterly Report'!AI$2)</f>
        <v>134367.39486</v>
      </c>
      <c r="AJ8" s="215">
        <f>SUMIFS('FY13-23 Full Data'!$AL5:$FA5,'FY13-23 Full Data'!$AL$2:$FA$2,'New Quarterly Report'!AJ$1,'FY13-23 Full Data'!$AL$3:$FA$3,'New Quarterly Report'!AJ$2)</f>
        <v>149767.85</v>
      </c>
      <c r="AK8" s="215">
        <f>SUMIFS('FY13-23 Full Data'!$AL5:$FA5,'FY13-23 Full Data'!$AL$2:$FA$2,'New Quarterly Report'!AK$1,'FY13-23 Full Data'!$AL$3:$FA$3,'New Quarterly Report'!AK$2)</f>
        <v>140550.81400000001</v>
      </c>
      <c r="AL8" s="215">
        <f>SUMIFS('FY13-23 Full Data'!$AL5:$FA5,'FY13-23 Full Data'!$AL$2:$FA$2,'New Quarterly Report'!AL$1,'FY13-23 Full Data'!$AL$3:$FA$3,'New Quarterly Report'!AL$2)</f>
        <v>267242.12</v>
      </c>
      <c r="AM8" s="215">
        <f>SUMIFS('FY13-23 Full Data'!$AL5:$FA5,'FY13-23 Full Data'!$AL$2:$FA$2,'New Quarterly Report'!AM$1,'FY13-23 Full Data'!$AL$3:$FA$3,'New Quarterly Report'!AM$2)</f>
        <v>133595.03</v>
      </c>
      <c r="AN8" s="215">
        <f>SUMIFS('FY13-23 Full Data'!$AL5:$FA5,'FY13-23 Full Data'!$AL$2:$FA$2,'New Quarterly Report'!AN$1,'FY13-23 Full Data'!$AL$3:$FA$3,'New Quarterly Report'!AN$2)</f>
        <v>1323</v>
      </c>
      <c r="AO8" s="215">
        <f>SUMIFS('FY13-23 Full Data'!$AL5:$FA5,'FY13-23 Full Data'!$AL$2:$FA$2,'New Quarterly Report'!AO$1,'FY13-23 Full Data'!$AL$3:$FA$3,'New Quarterly Report'!AO$2)</f>
        <v>217355</v>
      </c>
      <c r="AP8" s="215">
        <f>SUMIFS('FY13-23 Full Data'!$AL5:$FA5,'FY13-23 Full Data'!$AL$2:$FA$2,'New Quarterly Report'!AP$1,'FY13-23 Full Data'!$AL$3:$FA$3,'New Quarterly Report'!AP$2)</f>
        <v>136752</v>
      </c>
      <c r="AQ8" s="215">
        <f>SUMIFS('FY13-23 Full Data'!$AL5:$FA5,'FY13-23 Full Data'!$AL$2:$FA$2,'New Quarterly Report'!AQ$1,'FY13-23 Full Data'!$AL$3:$FA$3,'New Quarterly Report'!AQ$2)</f>
        <v>106413</v>
      </c>
    </row>
    <row r="9" spans="2:43" x14ac:dyDescent="0.25">
      <c r="B9" s="207" t="s">
        <v>117</v>
      </c>
      <c r="C9" s="207" t="s">
        <v>118</v>
      </c>
      <c r="D9" s="215">
        <f>SUMIFS('FY13-23 Full Data'!$AL6:$FA6,'FY13-23 Full Data'!$AL$2:$FA$2,'New Quarterly Report'!D$1,'FY13-23 Full Data'!$AL$3:$FA$3,'New Quarterly Report'!D$2)</f>
        <v>4024</v>
      </c>
      <c r="E9" s="215">
        <f>SUMIFS('FY13-23 Full Data'!$AL6:$FA6,'FY13-23 Full Data'!$AL$2:$FA$2,'New Quarterly Report'!E$1,'FY13-23 Full Data'!$AL$3:$FA$3,'New Quarterly Report'!E$2)</f>
        <v>701.76300000000003</v>
      </c>
      <c r="F9" s="215">
        <f>SUMIFS('FY13-23 Full Data'!$AL6:$FA6,'FY13-23 Full Data'!$AL$2:$FA$2,'New Quarterly Report'!F$1,'FY13-23 Full Data'!$AL$3:$FA$3,'New Quarterly Report'!F$2)</f>
        <v>59282.364950000003</v>
      </c>
      <c r="G9" s="215">
        <f>SUMIFS('FY13-23 Full Data'!$AL6:$FA6,'FY13-23 Full Data'!$AL$2:$FA$2,'New Quarterly Report'!G$1,'FY13-23 Full Data'!$AL$3:$FA$3,'New Quarterly Report'!G$2)</f>
        <v>8568.7813499999993</v>
      </c>
      <c r="H9" s="215">
        <f>SUMIFS('FY13-23 Full Data'!$AL6:$FA6,'FY13-23 Full Data'!$AL$2:$FA$2,'New Quarterly Report'!H$1,'FY13-23 Full Data'!$AL$3:$FA$3,'New Quarterly Report'!H$2)</f>
        <v>733.88070000000005</v>
      </c>
      <c r="I9" s="215">
        <f>SUMIFS('FY13-23 Full Data'!$AL6:$FA6,'FY13-23 Full Data'!$AL$2:$FA$2,'New Quarterly Report'!I$1,'FY13-23 Full Data'!$AL$3:$FA$3,'New Quarterly Report'!I$2)</f>
        <v>1020.82003</v>
      </c>
      <c r="J9" s="215">
        <f>SUMIFS('FY13-23 Full Data'!$AL6:$FA6,'FY13-23 Full Data'!$AL$2:$FA$2,'New Quarterly Report'!J$1,'FY13-23 Full Data'!$AL$3:$FA$3,'New Quarterly Report'!J$2)</f>
        <v>50572.700609999993</v>
      </c>
      <c r="K9" s="215">
        <f>SUMIFS('FY13-23 Full Data'!$AL6:$FA6,'FY13-23 Full Data'!$AL$2:$FA$2,'New Quarterly Report'!K$1,'FY13-23 Full Data'!$AL$3:$FA$3,'New Quarterly Report'!K$2)</f>
        <v>3265.4011999999998</v>
      </c>
      <c r="L9" s="215">
        <f>SUMIFS('FY13-23 Full Data'!$AL6:$FA6,'FY13-23 Full Data'!$AL$2:$FA$2,'New Quarterly Report'!L$1,'FY13-23 Full Data'!$AL$3:$FA$3,'New Quarterly Report'!L$2)</f>
        <v>5770.3315800000009</v>
      </c>
      <c r="M9" s="215">
        <f>SUMIFS('FY13-23 Full Data'!$AL6:$FA6,'FY13-23 Full Data'!$AL$2:$FA$2,'New Quarterly Report'!M$1,'FY13-23 Full Data'!$AL$3:$FA$3,'New Quarterly Report'!M$2)</f>
        <v>-1141.0281199999997</v>
      </c>
      <c r="N9" s="215">
        <f>SUMIFS('FY13-23 Full Data'!$AL6:$FA6,'FY13-23 Full Data'!$AL$2:$FA$2,'New Quarterly Report'!N$1,'FY13-23 Full Data'!$AL$3:$FA$3,'New Quarterly Report'!N$2)</f>
        <v>67690.105379999979</v>
      </c>
      <c r="O9" s="215">
        <f>SUMIFS('FY13-23 Full Data'!$AL6:$FA6,'FY13-23 Full Data'!$AL$2:$FA$2,'New Quarterly Report'!O$1,'FY13-23 Full Data'!$AL$3:$FA$3,'New Quarterly Report'!O$2)</f>
        <v>18754.637549999999</v>
      </c>
      <c r="P9" s="215">
        <f>SUMIFS('FY13-23 Full Data'!$AL6:$FA6,'FY13-23 Full Data'!$AL$2:$FA$2,'New Quarterly Report'!P$1,'FY13-23 Full Data'!$AL$3:$FA$3,'New Quarterly Report'!P$2)</f>
        <v>2319.9953799999998</v>
      </c>
      <c r="Q9" s="215">
        <f>SUMIFS('FY13-23 Full Data'!$AL6:$FA6,'FY13-23 Full Data'!$AL$2:$FA$2,'New Quarterly Report'!Q$1,'FY13-23 Full Data'!$AL$3:$FA$3,'New Quarterly Report'!Q$2)</f>
        <v>618.8127300000001</v>
      </c>
      <c r="R9" s="215">
        <f>SUMIFS('FY13-23 Full Data'!$AL6:$FA6,'FY13-23 Full Data'!$AL$2:$FA$2,'New Quarterly Report'!R$1,'FY13-23 Full Data'!$AL$3:$FA$3,'New Quarterly Report'!R$2)</f>
        <v>50927.151900000012</v>
      </c>
      <c r="S9" s="215">
        <f>SUMIFS('FY13-23 Full Data'!$AL6:$FA6,'FY13-23 Full Data'!$AL$2:$FA$2,'New Quarterly Report'!S$1,'FY13-23 Full Data'!$AL$3:$FA$3,'New Quarterly Report'!S$2)</f>
        <v>14015.44541</v>
      </c>
      <c r="T9" s="215">
        <f>SUMIFS('FY13-23 Full Data'!$AL6:$FA6,'FY13-23 Full Data'!$AL$2:$FA$2,'New Quarterly Report'!T$1,'FY13-23 Full Data'!$AL$3:$FA$3,'New Quarterly Report'!T$2)</f>
        <v>1660.4017799999999</v>
      </c>
      <c r="U9" s="215">
        <f>SUMIFS('FY13-23 Full Data'!$AL6:$FA6,'FY13-23 Full Data'!$AL$2:$FA$2,'New Quarterly Report'!U$1,'FY13-23 Full Data'!$AL$3:$FA$3,'New Quarterly Report'!U$2)</f>
        <v>22645.207229999996</v>
      </c>
      <c r="V9" s="215">
        <f>SUMIFS('FY13-23 Full Data'!$AL6:$FA6,'FY13-23 Full Data'!$AL$2:$FA$2,'New Quarterly Report'!V$1,'FY13-23 Full Data'!$AL$3:$FA$3,'New Quarterly Report'!V$2)</f>
        <v>42063.302679999993</v>
      </c>
      <c r="W9" s="215">
        <f>SUMIFS('FY13-23 Full Data'!$AL6:$FA6,'FY13-23 Full Data'!$AL$2:$FA$2,'New Quarterly Report'!W$1,'FY13-23 Full Data'!$AL$3:$FA$3,'New Quarterly Report'!W$2)</f>
        <v>9242.5335500000019</v>
      </c>
      <c r="X9" s="215">
        <f>SUMIFS('FY13-23 Full Data'!$AL6:$FA6,'FY13-23 Full Data'!$AL$2:$FA$2,'New Quarterly Report'!X$1,'FY13-23 Full Data'!$AL$3:$FA$3,'New Quarterly Report'!X$2)</f>
        <v>1177.58708</v>
      </c>
      <c r="Y9" s="215">
        <f>SUMIFS('FY13-23 Full Data'!$AL6:$FA6,'FY13-23 Full Data'!$AL$2:$FA$2,'New Quarterly Report'!Y$1,'FY13-23 Full Data'!$AL$3:$FA$3,'New Quarterly Report'!Y$2)</f>
        <v>578.44359999999995</v>
      </c>
      <c r="Z9" s="215">
        <f>SUMIFS('FY13-23 Full Data'!$AL6:$FA6,'FY13-23 Full Data'!$AL$2:$FA$2,'New Quarterly Report'!Z$1,'FY13-23 Full Data'!$AL$3:$FA$3,'New Quarterly Report'!Z$2)</f>
        <v>28749.775399999999</v>
      </c>
      <c r="AA9" s="215">
        <f>SUMIFS('FY13-23 Full Data'!$AL6:$FA6,'FY13-23 Full Data'!$AL$2:$FA$2,'New Quarterly Report'!AA$1,'FY13-23 Full Data'!$AL$3:$FA$3,'New Quarterly Report'!AA$2)</f>
        <v>5377.4989000000014</v>
      </c>
      <c r="AB9" s="215">
        <f>SUMIFS('FY13-23 Full Data'!$AL6:$FA6,'FY13-23 Full Data'!$AL$2:$FA$2,'New Quarterly Report'!AB$1,'FY13-23 Full Data'!$AL$3:$FA$3,'New Quarterly Report'!AB$2)</f>
        <v>1921.5926199999999</v>
      </c>
      <c r="AC9" s="215">
        <f>SUMIFS('FY13-23 Full Data'!$AL6:$FA6,'FY13-23 Full Data'!$AL$2:$FA$2,'New Quarterly Report'!AC$1,'FY13-23 Full Data'!$AL$3:$FA$3,'New Quarterly Report'!AC$2)</f>
        <v>1090.53466</v>
      </c>
      <c r="AD9" s="215">
        <f>SUMIFS('FY13-23 Full Data'!$AL6:$FA6,'FY13-23 Full Data'!$AL$2:$FA$2,'New Quarterly Report'!AD$1,'FY13-23 Full Data'!$AL$3:$FA$3,'New Quarterly Report'!AD$2)</f>
        <v>45269.586630000005</v>
      </c>
      <c r="AE9" s="215">
        <f>SUMIFS('FY13-23 Full Data'!$AL6:$FA6,'FY13-23 Full Data'!$AL$2:$FA$2,'New Quarterly Report'!AE$1,'FY13-23 Full Data'!$AL$3:$FA$3,'New Quarterly Report'!AE$2)</f>
        <v>5534.8856100000003</v>
      </c>
      <c r="AF9" s="215">
        <f>SUMIFS('FY13-23 Full Data'!$AL6:$FA6,'FY13-23 Full Data'!$AL$2:$FA$2,'New Quarterly Report'!AF$1,'FY13-23 Full Data'!$AL$3:$FA$3,'New Quarterly Report'!AF$2)</f>
        <v>6866.4387399999996</v>
      </c>
      <c r="AG9" s="215">
        <f>SUMIFS('FY13-23 Full Data'!$AL6:$FA6,'FY13-23 Full Data'!$AL$2:$FA$2,'New Quarterly Report'!AG$1,'FY13-23 Full Data'!$AL$3:$FA$3,'New Quarterly Report'!AG$2)</f>
        <v>6584.5299399999994</v>
      </c>
      <c r="AH9" s="215">
        <f>SUMIFS('FY13-23 Full Data'!$AL6:$FA6,'FY13-23 Full Data'!$AL$2:$FA$2,'New Quarterly Report'!AH$1,'FY13-23 Full Data'!$AL$3:$FA$3,'New Quarterly Report'!AH$2)</f>
        <v>71756.913840000008</v>
      </c>
      <c r="AI9" s="215">
        <f>SUMIFS('FY13-23 Full Data'!$AL6:$FA6,'FY13-23 Full Data'!$AL$2:$FA$2,'New Quarterly Report'!AI$1,'FY13-23 Full Data'!$AL$3:$FA$3,'New Quarterly Report'!AI$2)</f>
        <v>12027.488539999998</v>
      </c>
      <c r="AJ9" s="215">
        <f>SUMIFS('FY13-23 Full Data'!$AL6:$FA6,'FY13-23 Full Data'!$AL$2:$FA$2,'New Quarterly Report'!AJ$1,'FY13-23 Full Data'!$AL$3:$FA$3,'New Quarterly Report'!AJ$2)</f>
        <v>4030.0785000000001</v>
      </c>
      <c r="AK9" s="215">
        <f>SUMIFS('FY13-23 Full Data'!$AL6:$FA6,'FY13-23 Full Data'!$AL$2:$FA$2,'New Quarterly Report'!AK$1,'FY13-23 Full Data'!$AL$3:$FA$3,'New Quarterly Report'!AK$2)</f>
        <v>10030.930000000002</v>
      </c>
      <c r="AL9" s="215">
        <f>SUMIFS('FY13-23 Full Data'!$AL6:$FA6,'FY13-23 Full Data'!$AL$2:$FA$2,'New Quarterly Report'!AL$1,'FY13-23 Full Data'!$AL$3:$FA$3,'New Quarterly Report'!AL$2)</f>
        <v>48999.199999999997</v>
      </c>
      <c r="AM9" s="215">
        <f>SUMIFS('FY13-23 Full Data'!$AL6:$FA6,'FY13-23 Full Data'!$AL$2:$FA$2,'New Quarterly Report'!AM$1,'FY13-23 Full Data'!$AL$3:$FA$3,'New Quarterly Report'!AM$2)</f>
        <v>5356.21</v>
      </c>
      <c r="AN9" s="215">
        <f>SUMIFS('FY13-23 Full Data'!$AL6:$FA6,'FY13-23 Full Data'!$AL$2:$FA$2,'New Quarterly Report'!AN$1,'FY13-23 Full Data'!$AL$3:$FA$3,'New Quarterly Report'!AN$2)</f>
        <v>564</v>
      </c>
      <c r="AO9" s="215">
        <f>SUMIFS('FY13-23 Full Data'!$AL6:$FA6,'FY13-23 Full Data'!$AL$2:$FA$2,'New Quarterly Report'!AO$1,'FY13-23 Full Data'!$AL$3:$FA$3,'New Quarterly Report'!AO$2)</f>
        <v>5473</v>
      </c>
      <c r="AP9" s="215">
        <f>SUMIFS('FY13-23 Full Data'!$AL6:$FA6,'FY13-23 Full Data'!$AL$2:$FA$2,'New Quarterly Report'!AP$1,'FY13-23 Full Data'!$AL$3:$FA$3,'New Quarterly Report'!AP$2)</f>
        <v>41189</v>
      </c>
      <c r="AQ9" s="215">
        <f>SUMIFS('FY13-23 Full Data'!$AL6:$FA6,'FY13-23 Full Data'!$AL$2:$FA$2,'New Quarterly Report'!AQ$1,'FY13-23 Full Data'!$AL$3:$FA$3,'New Quarterly Report'!AQ$2)</f>
        <v>6980</v>
      </c>
    </row>
    <row r="10" spans="2:43" x14ac:dyDescent="0.25">
      <c r="B10" s="206" t="s">
        <v>119</v>
      </c>
      <c r="C10" s="207" t="s">
        <v>120</v>
      </c>
      <c r="D10" s="215">
        <f>SUMIFS('FY13-23 Full Data'!$AL7:$FA7,'FY13-23 Full Data'!$AL$2:$FA$2,'New Quarterly Report'!D$1,'FY13-23 Full Data'!$AL$3:$FA$3,'New Quarterly Report'!D$2)</f>
        <v>-53281</v>
      </c>
      <c r="E10" s="215">
        <f>SUMIFS('FY13-23 Full Data'!$AL7:$FA7,'FY13-23 Full Data'!$AL$2:$FA$2,'New Quarterly Report'!E$1,'FY13-23 Full Data'!$AL$3:$FA$3,'New Quarterly Report'!E$2)</f>
        <v>-3291.7959999999998</v>
      </c>
      <c r="F10" s="215">
        <f>SUMIFS('FY13-23 Full Data'!$AL7:$FA7,'FY13-23 Full Data'!$AL$2:$FA$2,'New Quarterly Report'!F$1,'FY13-23 Full Data'!$AL$3:$FA$3,'New Quarterly Report'!F$2)</f>
        <v>1807.9804000000001</v>
      </c>
      <c r="G10" s="215">
        <f>SUMIFS('FY13-23 Full Data'!$AL7:$FA7,'FY13-23 Full Data'!$AL$2:$FA$2,'New Quarterly Report'!G$1,'FY13-23 Full Data'!$AL$3:$FA$3,'New Quarterly Report'!G$2)</f>
        <v>52928.685299999997</v>
      </c>
      <c r="H10" s="215">
        <f>SUMIFS('FY13-23 Full Data'!$AL7:$FA7,'FY13-23 Full Data'!$AL$2:$FA$2,'New Quarterly Report'!H$1,'FY13-23 Full Data'!$AL$3:$FA$3,'New Quarterly Report'!H$2)</f>
        <v>69041.896800000002</v>
      </c>
      <c r="I10" s="215">
        <f>SUMIFS('FY13-23 Full Data'!$AL7:$FA7,'FY13-23 Full Data'!$AL$2:$FA$2,'New Quarterly Report'!I$1,'FY13-23 Full Data'!$AL$3:$FA$3,'New Quarterly Report'!I$2)</f>
        <v>76.006399999999999</v>
      </c>
      <c r="J10" s="215">
        <f>SUMIFS('FY13-23 Full Data'!$AL7:$FA7,'FY13-23 Full Data'!$AL$2:$FA$2,'New Quarterly Report'!J$1,'FY13-23 Full Data'!$AL$3:$FA$3,'New Quarterly Report'!J$2)</f>
        <v>2570.8731499999999</v>
      </c>
      <c r="K10" s="215">
        <f>SUMIFS('FY13-23 Full Data'!$AL7:$FA7,'FY13-23 Full Data'!$AL$2:$FA$2,'New Quarterly Report'!K$1,'FY13-23 Full Data'!$AL$3:$FA$3,'New Quarterly Report'!K$2)</f>
        <v>100035.46660000001</v>
      </c>
      <c r="L10" s="215">
        <f>SUMIFS('FY13-23 Full Data'!$AL7:$FA7,'FY13-23 Full Data'!$AL$2:$FA$2,'New Quarterly Report'!L$1,'FY13-23 Full Data'!$AL$3:$FA$3,'New Quarterly Report'!L$2)</f>
        <v>48843.685199999993</v>
      </c>
      <c r="M10" s="215">
        <f>SUMIFS('FY13-23 Full Data'!$AL7:$FA7,'FY13-23 Full Data'!$AL$2:$FA$2,'New Quarterly Report'!M$1,'FY13-23 Full Data'!$AL$3:$FA$3,'New Quarterly Report'!M$2)</f>
        <v>76.704399999999993</v>
      </c>
      <c r="N10" s="215">
        <f>SUMIFS('FY13-23 Full Data'!$AL7:$FA7,'FY13-23 Full Data'!$AL$2:$FA$2,'New Quarterly Report'!N$1,'FY13-23 Full Data'!$AL$3:$FA$3,'New Quarterly Report'!N$2)</f>
        <v>37433.932000000001</v>
      </c>
      <c r="O10" s="215">
        <f>SUMIFS('FY13-23 Full Data'!$AL7:$FA7,'FY13-23 Full Data'!$AL$2:$FA$2,'New Quarterly Report'!O$1,'FY13-23 Full Data'!$AL$3:$FA$3,'New Quarterly Report'!O$2)</f>
        <v>53236.356800000001</v>
      </c>
      <c r="P10" s="215">
        <f>SUMIFS('FY13-23 Full Data'!$AL7:$FA7,'FY13-23 Full Data'!$AL$2:$FA$2,'New Quarterly Report'!P$1,'FY13-23 Full Data'!$AL$3:$FA$3,'New Quarterly Report'!P$2)</f>
        <v>71167.522800000006</v>
      </c>
      <c r="Q10" s="215">
        <f>SUMIFS('FY13-23 Full Data'!$AL7:$FA7,'FY13-23 Full Data'!$AL$2:$FA$2,'New Quarterly Report'!Q$1,'FY13-23 Full Data'!$AL$3:$FA$3,'New Quarterly Report'!Q$2)</f>
        <v>3343.7860000000001</v>
      </c>
      <c r="R10" s="215">
        <f>SUMIFS('FY13-23 Full Data'!$AL7:$FA7,'FY13-23 Full Data'!$AL$2:$FA$2,'New Quarterly Report'!R$1,'FY13-23 Full Data'!$AL$3:$FA$3,'New Quarterly Report'!R$2)</f>
        <v>2027.2360000000001</v>
      </c>
      <c r="S10" s="215">
        <f>SUMIFS('FY13-23 Full Data'!$AL7:$FA7,'FY13-23 Full Data'!$AL$2:$FA$2,'New Quarterly Report'!S$1,'FY13-23 Full Data'!$AL$3:$FA$3,'New Quarterly Report'!S$2)</f>
        <v>94220.313099999999</v>
      </c>
      <c r="T10" s="215">
        <f>SUMIFS('FY13-23 Full Data'!$AL7:$FA7,'FY13-23 Full Data'!$AL$2:$FA$2,'New Quarterly Report'!T$1,'FY13-23 Full Data'!$AL$3:$FA$3,'New Quarterly Report'!T$2)</f>
        <v>109857.03425000001</v>
      </c>
      <c r="U10" s="215">
        <f>SUMIFS('FY13-23 Full Data'!$AL7:$FA7,'FY13-23 Full Data'!$AL$2:$FA$2,'New Quarterly Report'!U$1,'FY13-23 Full Data'!$AL$3:$FA$3,'New Quarterly Report'!U$2)</f>
        <v>75</v>
      </c>
      <c r="V10" s="215">
        <f>SUMIFS('FY13-23 Full Data'!$AL7:$FA7,'FY13-23 Full Data'!$AL$2:$FA$2,'New Quarterly Report'!V$1,'FY13-23 Full Data'!$AL$3:$FA$3,'New Quarterly Report'!V$2)</f>
        <v>18330.335800000001</v>
      </c>
      <c r="W10" s="215">
        <f>SUMIFS('FY13-23 Full Data'!$AL7:$FA7,'FY13-23 Full Data'!$AL$2:$FA$2,'New Quarterly Report'!W$1,'FY13-23 Full Data'!$AL$3:$FA$3,'New Quarterly Report'!W$2)</f>
        <v>121961.3034</v>
      </c>
      <c r="X10" s="215">
        <f>SUMIFS('FY13-23 Full Data'!$AL7:$FA7,'FY13-23 Full Data'!$AL$2:$FA$2,'New Quarterly Report'!X$1,'FY13-23 Full Data'!$AL$3:$FA$3,'New Quarterly Report'!X$2)</f>
        <v>111016.4688</v>
      </c>
      <c r="Y10" s="215">
        <f>SUMIFS('FY13-23 Full Data'!$AL7:$FA7,'FY13-23 Full Data'!$AL$2:$FA$2,'New Quarterly Report'!Y$1,'FY13-23 Full Data'!$AL$3:$FA$3,'New Quarterly Report'!Y$2)</f>
        <v>1662.296</v>
      </c>
      <c r="Z10" s="215">
        <f>SUMIFS('FY13-23 Full Data'!$AL7:$FA7,'FY13-23 Full Data'!$AL$2:$FA$2,'New Quarterly Report'!Z$1,'FY13-23 Full Data'!$AL$3:$FA$3,'New Quarterly Report'!Z$2)</f>
        <v>28345.759900000001</v>
      </c>
      <c r="AA10" s="215">
        <f>SUMIFS('FY13-23 Full Data'!$AL7:$FA7,'FY13-23 Full Data'!$AL$2:$FA$2,'New Quarterly Report'!AA$1,'FY13-23 Full Data'!$AL$3:$FA$3,'New Quarterly Report'!AA$2)</f>
        <v>190824.65205</v>
      </c>
      <c r="AB10" s="215">
        <f>SUMIFS('FY13-23 Full Data'!$AL7:$FA7,'FY13-23 Full Data'!$AL$2:$FA$2,'New Quarterly Report'!AB$1,'FY13-23 Full Data'!$AL$3:$FA$3,'New Quarterly Report'!AB$2)</f>
        <v>107483.36749999999</v>
      </c>
      <c r="AC10" s="215">
        <f>SUMIFS('FY13-23 Full Data'!$AL7:$FA7,'FY13-23 Full Data'!$AL$2:$FA$2,'New Quarterly Report'!AC$1,'FY13-23 Full Data'!$AL$3:$FA$3,'New Quarterly Report'!AC$2)</f>
        <v>62.397999999999996</v>
      </c>
      <c r="AD10" s="215">
        <f>SUMIFS('FY13-23 Full Data'!$AL7:$FA7,'FY13-23 Full Data'!$AL$2:$FA$2,'New Quarterly Report'!AD$1,'FY13-23 Full Data'!$AL$3:$FA$3,'New Quarterly Report'!AD$2)</f>
        <v>105700.53179999998</v>
      </c>
      <c r="AE10" s="215">
        <f>SUMIFS('FY13-23 Full Data'!$AL7:$FA7,'FY13-23 Full Data'!$AL$2:$FA$2,'New Quarterly Report'!AE$1,'FY13-23 Full Data'!$AL$3:$FA$3,'New Quarterly Report'!AE$2)</f>
        <v>147630.3714</v>
      </c>
      <c r="AF10" s="215">
        <f>SUMIFS('FY13-23 Full Data'!$AL7:$FA7,'FY13-23 Full Data'!$AL$2:$FA$2,'New Quarterly Report'!AF$1,'FY13-23 Full Data'!$AL$3:$FA$3,'New Quarterly Report'!AF$2)</f>
        <v>95882.827610000008</v>
      </c>
      <c r="AG10" s="215">
        <f>SUMIFS('FY13-23 Full Data'!$AL7:$FA7,'FY13-23 Full Data'!$AL$2:$FA$2,'New Quarterly Report'!AG$1,'FY13-23 Full Data'!$AL$3:$FA$3,'New Quarterly Report'!AG$2)</f>
        <v>0.70950000000000002</v>
      </c>
      <c r="AH10" s="215">
        <f>SUMIFS('FY13-23 Full Data'!$AL7:$FA7,'FY13-23 Full Data'!$AL$2:$FA$2,'New Quarterly Report'!AH$1,'FY13-23 Full Data'!$AL$3:$FA$3,'New Quarterly Report'!AH$2)</f>
        <v>35752.385130000002</v>
      </c>
      <c r="AI10" s="215">
        <f>SUMIFS('FY13-23 Full Data'!$AL7:$FA7,'FY13-23 Full Data'!$AL$2:$FA$2,'New Quarterly Report'!AI$1,'FY13-23 Full Data'!$AL$3:$FA$3,'New Quarterly Report'!AI$2)</f>
        <v>269605.46955000004</v>
      </c>
      <c r="AJ10" s="215">
        <f>SUMIFS('FY13-23 Full Data'!$AL7:$FA7,'FY13-23 Full Data'!$AL$2:$FA$2,'New Quarterly Report'!AJ$1,'FY13-23 Full Data'!$AL$3:$FA$3,'New Quarterly Report'!AJ$2)</f>
        <v>70238.539999999994</v>
      </c>
      <c r="AK10" s="215">
        <f>SUMIFS('FY13-23 Full Data'!$AL7:$FA7,'FY13-23 Full Data'!$AL$2:$FA$2,'New Quarterly Report'!AK$1,'FY13-23 Full Data'!$AL$3:$FA$3,'New Quarterly Report'!AK$2)</f>
        <v>3211.79</v>
      </c>
      <c r="AL10" s="215">
        <f>SUMIFS('FY13-23 Full Data'!$AL7:$FA7,'FY13-23 Full Data'!$AL$2:$FA$2,'New Quarterly Report'!AL$1,'FY13-23 Full Data'!$AL$3:$FA$3,'New Quarterly Report'!AL$2)</f>
        <v>150453.54999999999</v>
      </c>
      <c r="AM10" s="215">
        <f>SUMIFS('FY13-23 Full Data'!$AL7:$FA7,'FY13-23 Full Data'!$AL$2:$FA$2,'New Quarterly Report'!AM$1,'FY13-23 Full Data'!$AL$3:$FA$3,'New Quarterly Report'!AM$2)</f>
        <v>81702.790000000008</v>
      </c>
      <c r="AN10" s="215">
        <f>SUMIFS('FY13-23 Full Data'!$AL7:$FA7,'FY13-23 Full Data'!$AL$2:$FA$2,'New Quarterly Report'!AN$1,'FY13-23 Full Data'!$AL$3:$FA$3,'New Quarterly Report'!AN$2)</f>
        <v>32700</v>
      </c>
      <c r="AO10" s="215">
        <f>SUMIFS('FY13-23 Full Data'!$AL7:$FA7,'FY13-23 Full Data'!$AL$2:$FA$2,'New Quarterly Report'!AO$1,'FY13-23 Full Data'!$AL$3:$FA$3,'New Quarterly Report'!AO$2)</f>
        <v>29092</v>
      </c>
      <c r="AP10" s="215">
        <f>SUMIFS('FY13-23 Full Data'!$AL7:$FA7,'FY13-23 Full Data'!$AL$2:$FA$2,'New Quarterly Report'!AP$1,'FY13-23 Full Data'!$AL$3:$FA$3,'New Quarterly Report'!AP$2)</f>
        <v>52281</v>
      </c>
      <c r="AQ10" s="215">
        <f>SUMIFS('FY13-23 Full Data'!$AL7:$FA7,'FY13-23 Full Data'!$AL$2:$FA$2,'New Quarterly Report'!AQ$1,'FY13-23 Full Data'!$AL$3:$FA$3,'New Quarterly Report'!AQ$2)</f>
        <v>125287</v>
      </c>
    </row>
    <row r="11" spans="2:43" x14ac:dyDescent="0.25">
      <c r="B11" s="207" t="s">
        <v>121</v>
      </c>
      <c r="C11" s="207" t="s">
        <v>122</v>
      </c>
      <c r="D11" s="215">
        <f>SUMIFS('FY13-23 Full Data'!$AL8:$FA8,'FY13-23 Full Data'!$AL$2:$FA$2,'New Quarterly Report'!D$1,'FY13-23 Full Data'!$AL$3:$FA$3,'New Quarterly Report'!D$2)</f>
        <v>5629</v>
      </c>
      <c r="E11" s="215">
        <f>SUMIFS('FY13-23 Full Data'!$AL8:$FA8,'FY13-23 Full Data'!$AL$2:$FA$2,'New Quarterly Report'!E$1,'FY13-23 Full Data'!$AL$3:$FA$3,'New Quarterly Report'!E$2)</f>
        <v>16732.893539999997</v>
      </c>
      <c r="F11" s="215">
        <f>SUMIFS('FY13-23 Full Data'!$AL8:$FA8,'FY13-23 Full Data'!$AL$2:$FA$2,'New Quarterly Report'!F$1,'FY13-23 Full Data'!$AL$3:$FA$3,'New Quarterly Report'!F$2)</f>
        <v>38795.61155999999</v>
      </c>
      <c r="G11" s="215">
        <f>SUMIFS('FY13-23 Full Data'!$AL8:$FA8,'FY13-23 Full Data'!$AL$2:$FA$2,'New Quarterly Report'!G$1,'FY13-23 Full Data'!$AL$3:$FA$3,'New Quarterly Report'!G$2)</f>
        <v>24884.853599999999</v>
      </c>
      <c r="H11" s="215">
        <f>SUMIFS('FY13-23 Full Data'!$AL8:$FA8,'FY13-23 Full Data'!$AL$2:$FA$2,'New Quarterly Report'!H$1,'FY13-23 Full Data'!$AL$3:$FA$3,'New Quarterly Report'!H$2)</f>
        <v>5165.0771000000004</v>
      </c>
      <c r="I11" s="215">
        <f>SUMIFS('FY13-23 Full Data'!$AL8:$FA8,'FY13-23 Full Data'!$AL$2:$FA$2,'New Quarterly Report'!I$1,'FY13-23 Full Data'!$AL$3:$FA$3,'New Quarterly Report'!I$2)</f>
        <v>11175.388759999998</v>
      </c>
      <c r="J11" s="215">
        <f>SUMIFS('FY13-23 Full Data'!$AL8:$FA8,'FY13-23 Full Data'!$AL$2:$FA$2,'New Quarterly Report'!J$1,'FY13-23 Full Data'!$AL$3:$FA$3,'New Quarterly Report'!J$2)</f>
        <v>28137.746049999994</v>
      </c>
      <c r="K11" s="215">
        <f>SUMIFS('FY13-23 Full Data'!$AL8:$FA8,'FY13-23 Full Data'!$AL$2:$FA$2,'New Quarterly Report'!K$1,'FY13-23 Full Data'!$AL$3:$FA$3,'New Quarterly Report'!K$2)</f>
        <v>17509.616540000003</v>
      </c>
      <c r="L11" s="215">
        <f>SUMIFS('FY13-23 Full Data'!$AL8:$FA8,'FY13-23 Full Data'!$AL$2:$FA$2,'New Quarterly Report'!L$1,'FY13-23 Full Data'!$AL$3:$FA$3,'New Quarterly Report'!L$2)</f>
        <v>7931.6487800000014</v>
      </c>
      <c r="M11" s="215">
        <f>SUMIFS('FY13-23 Full Data'!$AL8:$FA8,'FY13-23 Full Data'!$AL$2:$FA$2,'New Quarterly Report'!M$1,'FY13-23 Full Data'!$AL$3:$FA$3,'New Quarterly Report'!M$2)</f>
        <v>11808.264709999999</v>
      </c>
      <c r="N11" s="215">
        <f>SUMIFS('FY13-23 Full Data'!$AL8:$FA8,'FY13-23 Full Data'!$AL$2:$FA$2,'New Quarterly Report'!N$1,'FY13-23 Full Data'!$AL$3:$FA$3,'New Quarterly Report'!N$2)</f>
        <v>34125.025460000004</v>
      </c>
      <c r="O11" s="215">
        <f>SUMIFS('FY13-23 Full Data'!$AL8:$FA8,'FY13-23 Full Data'!$AL$2:$FA$2,'New Quarterly Report'!O$1,'FY13-23 Full Data'!$AL$3:$FA$3,'New Quarterly Report'!O$2)</f>
        <v>18319.567300000002</v>
      </c>
      <c r="P11" s="215">
        <f>SUMIFS('FY13-23 Full Data'!$AL8:$FA8,'FY13-23 Full Data'!$AL$2:$FA$2,'New Quarterly Report'!P$1,'FY13-23 Full Data'!$AL$3:$FA$3,'New Quarterly Report'!P$2)</f>
        <v>7500.1619000000001</v>
      </c>
      <c r="Q11" s="215">
        <f>SUMIFS('FY13-23 Full Data'!$AL8:$FA8,'FY13-23 Full Data'!$AL$2:$FA$2,'New Quarterly Report'!Q$1,'FY13-23 Full Data'!$AL$3:$FA$3,'New Quarterly Report'!Q$2)</f>
        <v>12025.79507</v>
      </c>
      <c r="R11" s="215">
        <f>SUMIFS('FY13-23 Full Data'!$AL8:$FA8,'FY13-23 Full Data'!$AL$2:$FA$2,'New Quarterly Report'!R$1,'FY13-23 Full Data'!$AL$3:$FA$3,'New Quarterly Report'!R$2)</f>
        <v>27745.86809</v>
      </c>
      <c r="S11" s="215">
        <f>SUMIFS('FY13-23 Full Data'!$AL8:$FA8,'FY13-23 Full Data'!$AL$2:$FA$2,'New Quarterly Report'!S$1,'FY13-23 Full Data'!$AL$3:$FA$3,'New Quarterly Report'!S$2)</f>
        <v>19702.778760000001</v>
      </c>
      <c r="T11" s="215">
        <f>SUMIFS('FY13-23 Full Data'!$AL8:$FA8,'FY13-23 Full Data'!$AL$2:$FA$2,'New Quarterly Report'!T$1,'FY13-23 Full Data'!$AL$3:$FA$3,'New Quarterly Report'!T$2)</f>
        <v>5193.4176599999992</v>
      </c>
      <c r="U11" s="215">
        <f>SUMIFS('FY13-23 Full Data'!$AL8:$FA8,'FY13-23 Full Data'!$AL$2:$FA$2,'New Quarterly Report'!U$1,'FY13-23 Full Data'!$AL$3:$FA$3,'New Quarterly Report'!U$2)</f>
        <v>8534.7012300000006</v>
      </c>
      <c r="V11" s="215">
        <f>SUMIFS('FY13-23 Full Data'!$AL8:$FA8,'FY13-23 Full Data'!$AL$2:$FA$2,'New Quarterly Report'!V$1,'FY13-23 Full Data'!$AL$3:$FA$3,'New Quarterly Report'!V$2)</f>
        <v>23648.42271000001</v>
      </c>
      <c r="W11" s="215">
        <f>SUMIFS('FY13-23 Full Data'!$AL8:$FA8,'FY13-23 Full Data'!$AL$2:$FA$2,'New Quarterly Report'!W$1,'FY13-23 Full Data'!$AL$3:$FA$3,'New Quarterly Report'!W$2)</f>
        <v>18319.888049999998</v>
      </c>
      <c r="X11" s="215">
        <f>SUMIFS('FY13-23 Full Data'!$AL8:$FA8,'FY13-23 Full Data'!$AL$2:$FA$2,'New Quarterly Report'!X$1,'FY13-23 Full Data'!$AL$3:$FA$3,'New Quarterly Report'!X$2)</f>
        <v>2480.6846300000002</v>
      </c>
      <c r="Y11" s="215">
        <f>SUMIFS('FY13-23 Full Data'!$AL8:$FA8,'FY13-23 Full Data'!$AL$2:$FA$2,'New Quarterly Report'!Y$1,'FY13-23 Full Data'!$AL$3:$FA$3,'New Quarterly Report'!Y$2)</f>
        <v>6993.4352200000003</v>
      </c>
      <c r="Z11" s="215">
        <f>SUMIFS('FY13-23 Full Data'!$AL8:$FA8,'FY13-23 Full Data'!$AL$2:$FA$2,'New Quarterly Report'!Z$1,'FY13-23 Full Data'!$AL$3:$FA$3,'New Quarterly Report'!Z$2)</f>
        <v>34243.08034</v>
      </c>
      <c r="AA11" s="215">
        <f>SUMIFS('FY13-23 Full Data'!$AL8:$FA8,'FY13-23 Full Data'!$AL$2:$FA$2,'New Quarterly Report'!AA$1,'FY13-23 Full Data'!$AL$3:$FA$3,'New Quarterly Report'!AA$2)</f>
        <v>14613.306749999998</v>
      </c>
      <c r="AB11" s="215">
        <f>SUMIFS('FY13-23 Full Data'!$AL8:$FA8,'FY13-23 Full Data'!$AL$2:$FA$2,'New Quarterly Report'!AB$1,'FY13-23 Full Data'!$AL$3:$FA$3,'New Quarterly Report'!AB$2)</f>
        <v>1557.7298900000001</v>
      </c>
      <c r="AC11" s="215">
        <f>SUMIFS('FY13-23 Full Data'!$AL8:$FA8,'FY13-23 Full Data'!$AL$2:$FA$2,'New Quarterly Report'!AC$1,'FY13-23 Full Data'!$AL$3:$FA$3,'New Quarterly Report'!AC$2)</f>
        <v>7097.6012399999991</v>
      </c>
      <c r="AD11" s="215">
        <f>SUMIFS('FY13-23 Full Data'!$AL8:$FA8,'FY13-23 Full Data'!$AL$2:$FA$2,'New Quarterly Report'!AD$1,'FY13-23 Full Data'!$AL$3:$FA$3,'New Quarterly Report'!AD$2)</f>
        <v>31378.009539999995</v>
      </c>
      <c r="AE11" s="215">
        <f>SUMIFS('FY13-23 Full Data'!$AL8:$FA8,'FY13-23 Full Data'!$AL$2:$FA$2,'New Quarterly Report'!AE$1,'FY13-23 Full Data'!$AL$3:$FA$3,'New Quarterly Report'!AE$2)</f>
        <v>9084.6470800000006</v>
      </c>
      <c r="AF11" s="215">
        <f>SUMIFS('FY13-23 Full Data'!$AL8:$FA8,'FY13-23 Full Data'!$AL$2:$FA$2,'New Quarterly Report'!AF$1,'FY13-23 Full Data'!$AL$3:$FA$3,'New Quarterly Report'!AF$2)</f>
        <v>2936.3050800000001</v>
      </c>
      <c r="AG11" s="215">
        <f>SUMIFS('FY13-23 Full Data'!$AL8:$FA8,'FY13-23 Full Data'!$AL$2:$FA$2,'New Quarterly Report'!AG$1,'FY13-23 Full Data'!$AL$3:$FA$3,'New Quarterly Report'!AG$2)</f>
        <v>9687.2833100000007</v>
      </c>
      <c r="AH11" s="215">
        <f>SUMIFS('FY13-23 Full Data'!$AL8:$FA8,'FY13-23 Full Data'!$AL$2:$FA$2,'New Quarterly Report'!AH$1,'FY13-23 Full Data'!$AL$3:$FA$3,'New Quarterly Report'!AH$2)</f>
        <v>26379.089409999997</v>
      </c>
      <c r="AI11" s="215">
        <f>SUMIFS('FY13-23 Full Data'!$AL8:$FA8,'FY13-23 Full Data'!$AL$2:$FA$2,'New Quarterly Report'!AI$1,'FY13-23 Full Data'!$AL$3:$FA$3,'New Quarterly Report'!AI$2)</f>
        <v>14261.248820000001</v>
      </c>
      <c r="AJ11" s="215">
        <f>SUMIFS('FY13-23 Full Data'!$AL8:$FA8,'FY13-23 Full Data'!$AL$2:$FA$2,'New Quarterly Report'!AJ$1,'FY13-23 Full Data'!$AL$3:$FA$3,'New Quarterly Report'!AJ$2)</f>
        <v>1889.2199999999998</v>
      </c>
      <c r="AK11" s="215">
        <f>SUMIFS('FY13-23 Full Data'!$AL8:$FA8,'FY13-23 Full Data'!$AL$2:$FA$2,'New Quarterly Report'!AK$1,'FY13-23 Full Data'!$AL$3:$FA$3,'New Quarterly Report'!AK$2)</f>
        <v>6279.2300000000005</v>
      </c>
      <c r="AL11" s="215">
        <f>SUMIFS('FY13-23 Full Data'!$AL8:$FA8,'FY13-23 Full Data'!$AL$2:$FA$2,'New Quarterly Report'!AL$1,'FY13-23 Full Data'!$AL$3:$FA$3,'New Quarterly Report'!AL$2)</f>
        <v>23320.79</v>
      </c>
      <c r="AM11" s="215">
        <f>SUMIFS('FY13-23 Full Data'!$AL8:$FA8,'FY13-23 Full Data'!$AL$2:$FA$2,'New Quarterly Report'!AM$1,'FY13-23 Full Data'!$AL$3:$FA$3,'New Quarterly Report'!AM$2)</f>
        <v>13101.69</v>
      </c>
      <c r="AN11" s="215">
        <f>SUMIFS('FY13-23 Full Data'!$AL8:$FA8,'FY13-23 Full Data'!$AL$2:$FA$2,'New Quarterly Report'!AN$1,'FY13-23 Full Data'!$AL$3:$FA$3,'New Quarterly Report'!AN$2)</f>
        <v>1123</v>
      </c>
      <c r="AO11" s="215">
        <f>SUMIFS('FY13-23 Full Data'!$AL8:$FA8,'FY13-23 Full Data'!$AL$2:$FA$2,'New Quarterly Report'!AO$1,'FY13-23 Full Data'!$AL$3:$FA$3,'New Quarterly Report'!AO$2)</f>
        <v>7976</v>
      </c>
      <c r="AP11" s="215">
        <f>SUMIFS('FY13-23 Full Data'!$AL8:$FA8,'FY13-23 Full Data'!$AL$2:$FA$2,'New Quarterly Report'!AP$1,'FY13-23 Full Data'!$AL$3:$FA$3,'New Quarterly Report'!AP$2)</f>
        <v>18309</v>
      </c>
      <c r="AQ11" s="215">
        <f>SUMIFS('FY13-23 Full Data'!$AL8:$FA8,'FY13-23 Full Data'!$AL$2:$FA$2,'New Quarterly Report'!AQ$1,'FY13-23 Full Data'!$AL$3:$FA$3,'New Quarterly Report'!AQ$2)</f>
        <v>14068</v>
      </c>
    </row>
    <row r="12" spans="2:43" x14ac:dyDescent="0.25">
      <c r="B12" s="206" t="s">
        <v>123</v>
      </c>
      <c r="C12" s="206" t="s">
        <v>124</v>
      </c>
      <c r="D12" s="215">
        <f>SUMIFS('FY13-23 Full Data'!$AL9:$FA9,'FY13-23 Full Data'!$AL$2:$FA$2,'New Quarterly Report'!D$1,'FY13-23 Full Data'!$AL$3:$FA$3,'New Quarterly Report'!D$2)</f>
        <v>149294</v>
      </c>
      <c r="E12" s="215">
        <f>SUMIFS('FY13-23 Full Data'!$AL9:$FA9,'FY13-23 Full Data'!$AL$2:$FA$2,'New Quarterly Report'!E$1,'FY13-23 Full Data'!$AL$3:$FA$3,'New Quarterly Report'!E$2)</f>
        <v>2196845.5302999998</v>
      </c>
      <c r="F12" s="215">
        <f>SUMIFS('FY13-23 Full Data'!$AL9:$FA9,'FY13-23 Full Data'!$AL$2:$FA$2,'New Quarterly Report'!F$1,'FY13-23 Full Data'!$AL$3:$FA$3,'New Quarterly Report'!F$2)</f>
        <v>1884973.0997600001</v>
      </c>
      <c r="G12" s="215">
        <f>SUMIFS('FY13-23 Full Data'!$AL9:$FA9,'FY13-23 Full Data'!$AL$2:$FA$2,'New Quarterly Report'!G$1,'FY13-23 Full Data'!$AL$3:$FA$3,'New Quarterly Report'!G$2)</f>
        <v>688621.20435000001</v>
      </c>
      <c r="H12" s="215">
        <f>SUMIFS('FY13-23 Full Data'!$AL9:$FA9,'FY13-23 Full Data'!$AL$2:$FA$2,'New Quarterly Report'!H$1,'FY13-23 Full Data'!$AL$3:$FA$3,'New Quarterly Report'!H$2)</f>
        <v>181107.21071000001</v>
      </c>
      <c r="I12" s="215">
        <f>SUMIFS('FY13-23 Full Data'!$AL9:$FA9,'FY13-23 Full Data'!$AL$2:$FA$2,'New Quarterly Report'!I$1,'FY13-23 Full Data'!$AL$3:$FA$3,'New Quarterly Report'!I$2)</f>
        <v>1562763.54214</v>
      </c>
      <c r="J12" s="215">
        <f>SUMIFS('FY13-23 Full Data'!$AL9:$FA9,'FY13-23 Full Data'!$AL$2:$FA$2,'New Quarterly Report'!J$1,'FY13-23 Full Data'!$AL$3:$FA$3,'New Quarterly Report'!J$2)</f>
        <v>1248943.0408399999</v>
      </c>
      <c r="K12" s="215">
        <f>SUMIFS('FY13-23 Full Data'!$AL9:$FA9,'FY13-23 Full Data'!$AL$2:$FA$2,'New Quarterly Report'!K$1,'FY13-23 Full Data'!$AL$3:$FA$3,'New Quarterly Report'!K$2)</f>
        <v>620669.41158000007</v>
      </c>
      <c r="L12" s="215">
        <f>SUMIFS('FY13-23 Full Data'!$AL9:$FA9,'FY13-23 Full Data'!$AL$2:$FA$2,'New Quarterly Report'!L$1,'FY13-23 Full Data'!$AL$3:$FA$3,'New Quarterly Report'!L$2)</f>
        <v>156728.26650999999</v>
      </c>
      <c r="M12" s="215">
        <f>SUMIFS('FY13-23 Full Data'!$AL9:$FA9,'FY13-23 Full Data'!$AL$2:$FA$2,'New Quarterly Report'!M$1,'FY13-23 Full Data'!$AL$3:$FA$3,'New Quarterly Report'!M$2)</f>
        <v>1631918.5776799999</v>
      </c>
      <c r="N12" s="215">
        <f>SUMIFS('FY13-23 Full Data'!$AL9:$FA9,'FY13-23 Full Data'!$AL$2:$FA$2,'New Quarterly Report'!N$1,'FY13-23 Full Data'!$AL$3:$FA$3,'New Quarterly Report'!N$2)</f>
        <v>1452032.9052299999</v>
      </c>
      <c r="O12" s="215">
        <f>SUMIFS('FY13-23 Full Data'!$AL9:$FA9,'FY13-23 Full Data'!$AL$2:$FA$2,'New Quarterly Report'!O$1,'FY13-23 Full Data'!$AL$3:$FA$3,'New Quarterly Report'!O$2)</f>
        <v>807641.77257999999</v>
      </c>
      <c r="P12" s="215">
        <f>SUMIFS('FY13-23 Full Data'!$AL9:$FA9,'FY13-23 Full Data'!$AL$2:$FA$2,'New Quarterly Report'!P$1,'FY13-23 Full Data'!$AL$3:$FA$3,'New Quarterly Report'!P$2)</f>
        <v>312970.22901000001</v>
      </c>
      <c r="Q12" s="215">
        <f>SUMIFS('FY13-23 Full Data'!$AL9:$FA9,'FY13-23 Full Data'!$AL$2:$FA$2,'New Quarterly Report'!Q$1,'FY13-23 Full Data'!$AL$3:$FA$3,'New Quarterly Report'!Q$2)</f>
        <v>1487578.4109200002</v>
      </c>
      <c r="R12" s="215">
        <f>SUMIFS('FY13-23 Full Data'!$AL9:$FA9,'FY13-23 Full Data'!$AL$2:$FA$2,'New Quarterly Report'!R$1,'FY13-23 Full Data'!$AL$3:$FA$3,'New Quarterly Report'!R$2)</f>
        <v>1083836.1779800002</v>
      </c>
      <c r="S12" s="215">
        <f>SUMIFS('FY13-23 Full Data'!$AL9:$FA9,'FY13-23 Full Data'!$AL$2:$FA$2,'New Quarterly Report'!S$1,'FY13-23 Full Data'!$AL$3:$FA$3,'New Quarterly Report'!S$2)</f>
        <v>505582.05537999998</v>
      </c>
      <c r="T12" s="215">
        <f>SUMIFS('FY13-23 Full Data'!$AL9:$FA9,'FY13-23 Full Data'!$AL$2:$FA$2,'New Quarterly Report'!T$1,'FY13-23 Full Data'!$AL$3:$FA$3,'New Quarterly Report'!T$2)</f>
        <v>98935.76036</v>
      </c>
      <c r="U12" s="215">
        <f>SUMIFS('FY13-23 Full Data'!$AL9:$FA9,'FY13-23 Full Data'!$AL$2:$FA$2,'New Quarterly Report'!U$1,'FY13-23 Full Data'!$AL$3:$FA$3,'New Quarterly Report'!U$2)</f>
        <v>1463602.7102300001</v>
      </c>
      <c r="V12" s="215">
        <f>SUMIFS('FY13-23 Full Data'!$AL9:$FA9,'FY13-23 Full Data'!$AL$2:$FA$2,'New Quarterly Report'!V$1,'FY13-23 Full Data'!$AL$3:$FA$3,'New Quarterly Report'!V$2)</f>
        <v>1179296.79253</v>
      </c>
      <c r="W12" s="215">
        <f>SUMIFS('FY13-23 Full Data'!$AL9:$FA9,'FY13-23 Full Data'!$AL$2:$FA$2,'New Quarterly Report'!W$1,'FY13-23 Full Data'!$AL$3:$FA$3,'New Quarterly Report'!W$2)</f>
        <v>593223.30623999995</v>
      </c>
      <c r="X12" s="215">
        <f>SUMIFS('FY13-23 Full Data'!$AL9:$FA9,'FY13-23 Full Data'!$AL$2:$FA$2,'New Quarterly Report'!X$1,'FY13-23 Full Data'!$AL$3:$FA$3,'New Quarterly Report'!X$2)</f>
        <v>105664.63759999999</v>
      </c>
      <c r="Y12" s="215">
        <f>SUMIFS('FY13-23 Full Data'!$AL9:$FA9,'FY13-23 Full Data'!$AL$2:$FA$2,'New Quarterly Report'!Y$1,'FY13-23 Full Data'!$AL$3:$FA$3,'New Quarterly Report'!Y$2)</f>
        <v>1470155.7124800002</v>
      </c>
      <c r="Z12" s="215">
        <f>SUMIFS('FY13-23 Full Data'!$AL9:$FA9,'FY13-23 Full Data'!$AL$2:$FA$2,'New Quarterly Report'!Z$1,'FY13-23 Full Data'!$AL$3:$FA$3,'New Quarterly Report'!Z$2)</f>
        <v>1257657.0225</v>
      </c>
      <c r="AA12" s="215">
        <f>SUMIFS('FY13-23 Full Data'!$AL9:$FA9,'FY13-23 Full Data'!$AL$2:$FA$2,'New Quarterly Report'!AA$1,'FY13-23 Full Data'!$AL$3:$FA$3,'New Quarterly Report'!AA$2)</f>
        <v>536267.74130999995</v>
      </c>
      <c r="AB12" s="215">
        <f>SUMIFS('FY13-23 Full Data'!$AL9:$FA9,'FY13-23 Full Data'!$AL$2:$FA$2,'New Quarterly Report'!AB$1,'FY13-23 Full Data'!$AL$3:$FA$3,'New Quarterly Report'!AB$2)</f>
        <v>138763.14468</v>
      </c>
      <c r="AC12" s="215">
        <f>SUMIFS('FY13-23 Full Data'!$AL9:$FA9,'FY13-23 Full Data'!$AL$2:$FA$2,'New Quarterly Report'!AC$1,'FY13-23 Full Data'!$AL$3:$FA$3,'New Quarterly Report'!AC$2)</f>
        <v>1433638.96908</v>
      </c>
      <c r="AD12" s="215">
        <f>SUMIFS('FY13-23 Full Data'!$AL9:$FA9,'FY13-23 Full Data'!$AL$2:$FA$2,'New Quarterly Report'!AD$1,'FY13-23 Full Data'!$AL$3:$FA$3,'New Quarterly Report'!AD$2)</f>
        <v>1428294.28758</v>
      </c>
      <c r="AE12" s="215">
        <f>SUMIFS('FY13-23 Full Data'!$AL9:$FA9,'FY13-23 Full Data'!$AL$2:$FA$2,'New Quarterly Report'!AE$1,'FY13-23 Full Data'!$AL$3:$FA$3,'New Quarterly Report'!AE$2)</f>
        <v>656020.22863000003</v>
      </c>
      <c r="AF12" s="215">
        <f>SUMIFS('FY13-23 Full Data'!$AL9:$FA9,'FY13-23 Full Data'!$AL$2:$FA$2,'New Quarterly Report'!AF$1,'FY13-23 Full Data'!$AL$3:$FA$3,'New Quarterly Report'!AF$2)</f>
        <v>170820.19192999997</v>
      </c>
      <c r="AG12" s="215">
        <f>SUMIFS('FY13-23 Full Data'!$AL9:$FA9,'FY13-23 Full Data'!$AL$2:$FA$2,'New Quarterly Report'!AG$1,'FY13-23 Full Data'!$AL$3:$FA$3,'New Quarterly Report'!AG$2)</f>
        <v>1423445.5226199999</v>
      </c>
      <c r="AH12" s="215">
        <f>SUMIFS('FY13-23 Full Data'!$AL9:$FA9,'FY13-23 Full Data'!$AL$2:$FA$2,'New Quarterly Report'!AH$1,'FY13-23 Full Data'!$AL$3:$FA$3,'New Quarterly Report'!AH$2)</f>
        <v>1362657.61216</v>
      </c>
      <c r="AI12" s="215">
        <f>SUMIFS('FY13-23 Full Data'!$AL9:$FA9,'FY13-23 Full Data'!$AL$2:$FA$2,'New Quarterly Report'!AI$1,'FY13-23 Full Data'!$AL$3:$FA$3,'New Quarterly Report'!AI$2)</f>
        <v>666673.52507999993</v>
      </c>
      <c r="AJ12" s="215">
        <f>SUMIFS('FY13-23 Full Data'!$AL9:$FA9,'FY13-23 Full Data'!$AL$2:$FA$2,'New Quarterly Report'!AJ$1,'FY13-23 Full Data'!$AL$3:$FA$3,'New Quarterly Report'!AJ$2)</f>
        <v>153982.25</v>
      </c>
      <c r="AK12" s="215">
        <f>SUMIFS('FY13-23 Full Data'!$AL9:$FA9,'FY13-23 Full Data'!$AL$2:$FA$2,'New Quarterly Report'!AK$1,'FY13-23 Full Data'!$AL$3:$FA$3,'New Quarterly Report'!AK$2)</f>
        <v>1211108.46</v>
      </c>
      <c r="AL12" s="215">
        <f>SUMIFS('FY13-23 Full Data'!$AL9:$FA9,'FY13-23 Full Data'!$AL$2:$FA$2,'New Quarterly Report'!AL$1,'FY13-23 Full Data'!$AL$3:$FA$3,'New Quarterly Report'!AL$2)</f>
        <v>1286538.02</v>
      </c>
      <c r="AM12" s="215">
        <f>SUMIFS('FY13-23 Full Data'!$AL9:$FA9,'FY13-23 Full Data'!$AL$2:$FA$2,'New Quarterly Report'!AM$1,'FY13-23 Full Data'!$AL$3:$FA$3,'New Quarterly Report'!AM$2)</f>
        <v>566656.85</v>
      </c>
      <c r="AN12" s="215">
        <f>SUMIFS('FY13-23 Full Data'!$AL9:$FA9,'FY13-23 Full Data'!$AL$2:$FA$2,'New Quarterly Report'!AN$1,'FY13-23 Full Data'!$AL$3:$FA$3,'New Quarterly Report'!AN$2)</f>
        <v>106656</v>
      </c>
      <c r="AO12" s="215">
        <f>SUMIFS('FY13-23 Full Data'!$AL9:$FA9,'FY13-23 Full Data'!$AL$2:$FA$2,'New Quarterly Report'!AO$1,'FY13-23 Full Data'!$AL$3:$FA$3,'New Quarterly Report'!AO$2)</f>
        <v>1136603</v>
      </c>
      <c r="AP12" s="215">
        <f>SUMIFS('FY13-23 Full Data'!$AL9:$FA9,'FY13-23 Full Data'!$AL$2:$FA$2,'New Quarterly Report'!AP$1,'FY13-23 Full Data'!$AL$3:$FA$3,'New Quarterly Report'!AP$2)</f>
        <v>1082285</v>
      </c>
      <c r="AQ12" s="215">
        <f>SUMIFS('FY13-23 Full Data'!$AL9:$FA9,'FY13-23 Full Data'!$AL$2:$FA$2,'New Quarterly Report'!AQ$1,'FY13-23 Full Data'!$AL$3:$FA$3,'New Quarterly Report'!AQ$2)</f>
        <v>441384</v>
      </c>
    </row>
    <row r="13" spans="2:43" x14ac:dyDescent="0.25">
      <c r="B13" s="208" t="s">
        <v>125</v>
      </c>
      <c r="C13" s="208" t="s">
        <v>126</v>
      </c>
      <c r="D13" s="215">
        <f>SUMIFS('FY13-23 Full Data'!$AL10:$FA10,'FY13-23 Full Data'!$AL$2:$FA$2,'New Quarterly Report'!D$1,'FY13-23 Full Data'!$AL$3:$FA$3,'New Quarterly Report'!D$2)</f>
        <v>29220</v>
      </c>
      <c r="E13" s="215">
        <f>SUMIFS('FY13-23 Full Data'!$AL10:$FA10,'FY13-23 Full Data'!$AL$2:$FA$2,'New Quarterly Report'!E$1,'FY13-23 Full Data'!$AL$3:$FA$3,'New Quarterly Report'!E$2)</f>
        <v>38655.496150000006</v>
      </c>
      <c r="F13" s="215">
        <f>SUMIFS('FY13-23 Full Data'!$AL10:$FA10,'FY13-23 Full Data'!$AL$2:$FA$2,'New Quarterly Report'!F$1,'FY13-23 Full Data'!$AL$3:$FA$3,'New Quarterly Report'!F$2)</f>
        <v>38193.258900000001</v>
      </c>
      <c r="G13" s="215">
        <f>SUMIFS('FY13-23 Full Data'!$AL10:$FA10,'FY13-23 Full Data'!$AL$2:$FA$2,'New Quarterly Report'!G$1,'FY13-23 Full Data'!$AL$3:$FA$3,'New Quarterly Report'!G$2)</f>
        <v>38501.86050000001</v>
      </c>
      <c r="H13" s="215">
        <f>SUMIFS('FY13-23 Full Data'!$AL10:$FA10,'FY13-23 Full Data'!$AL$2:$FA$2,'New Quarterly Report'!H$1,'FY13-23 Full Data'!$AL$3:$FA$3,'New Quarterly Report'!H$2)</f>
        <v>18690.377100000002</v>
      </c>
      <c r="I13" s="215">
        <f>SUMIFS('FY13-23 Full Data'!$AL10:$FA10,'FY13-23 Full Data'!$AL$2:$FA$2,'New Quarterly Report'!I$1,'FY13-23 Full Data'!$AL$3:$FA$3,'New Quarterly Report'!I$2)</f>
        <v>16594.293599999997</v>
      </c>
      <c r="J13" s="215">
        <f>SUMIFS('FY13-23 Full Data'!$AL10:$FA10,'FY13-23 Full Data'!$AL$2:$FA$2,'New Quarterly Report'!J$1,'FY13-23 Full Data'!$AL$3:$FA$3,'New Quarterly Report'!J$2)</f>
        <v>35330.950349999999</v>
      </c>
      <c r="K13" s="215">
        <f>SUMIFS('FY13-23 Full Data'!$AL10:$FA10,'FY13-23 Full Data'!$AL$2:$FA$2,'New Quarterly Report'!K$1,'FY13-23 Full Data'!$AL$3:$FA$3,'New Quarterly Report'!K$2)</f>
        <v>21790.246749999998</v>
      </c>
      <c r="L13" s="215">
        <f>SUMIFS('FY13-23 Full Data'!$AL10:$FA10,'FY13-23 Full Data'!$AL$2:$FA$2,'New Quarterly Report'!L$1,'FY13-23 Full Data'!$AL$3:$FA$3,'New Quarterly Report'!L$2)</f>
        <v>23871.656500000001</v>
      </c>
      <c r="M13" s="215">
        <f>SUMIFS('FY13-23 Full Data'!$AL10:$FA10,'FY13-23 Full Data'!$AL$2:$FA$2,'New Quarterly Report'!M$1,'FY13-23 Full Data'!$AL$3:$FA$3,'New Quarterly Report'!M$2)</f>
        <v>20199.033199999998</v>
      </c>
      <c r="N13" s="215">
        <f>SUMIFS('FY13-23 Full Data'!$AL10:$FA10,'FY13-23 Full Data'!$AL$2:$FA$2,'New Quarterly Report'!N$1,'FY13-23 Full Data'!$AL$3:$FA$3,'New Quarterly Report'!N$2)</f>
        <v>34509.7094</v>
      </c>
      <c r="O13" s="215">
        <f>SUMIFS('FY13-23 Full Data'!$AL10:$FA10,'FY13-23 Full Data'!$AL$2:$FA$2,'New Quarterly Report'!O$1,'FY13-23 Full Data'!$AL$3:$FA$3,'New Quarterly Report'!O$2)</f>
        <v>18819.514349999998</v>
      </c>
      <c r="P13" s="215">
        <f>SUMIFS('FY13-23 Full Data'!$AL10:$FA10,'FY13-23 Full Data'!$AL$2:$FA$2,'New Quarterly Report'!P$1,'FY13-23 Full Data'!$AL$3:$FA$3,'New Quarterly Report'!P$2)</f>
        <v>10209.74726</v>
      </c>
      <c r="Q13" s="215">
        <f>SUMIFS('FY13-23 Full Data'!$AL10:$FA10,'FY13-23 Full Data'!$AL$2:$FA$2,'New Quarterly Report'!Q$1,'FY13-23 Full Data'!$AL$3:$FA$3,'New Quarterly Report'!Q$2)</f>
        <v>23651.876249999998</v>
      </c>
      <c r="R13" s="215">
        <f>SUMIFS('FY13-23 Full Data'!$AL10:$FA10,'FY13-23 Full Data'!$AL$2:$FA$2,'New Quarterly Report'!R$1,'FY13-23 Full Data'!$AL$3:$FA$3,'New Quarterly Report'!R$2)</f>
        <v>21339.633779999996</v>
      </c>
      <c r="S13" s="215">
        <f>SUMIFS('FY13-23 Full Data'!$AL10:$FA10,'FY13-23 Full Data'!$AL$2:$FA$2,'New Quarterly Report'!S$1,'FY13-23 Full Data'!$AL$3:$FA$3,'New Quarterly Report'!S$2)</f>
        <v>16067.215700000001</v>
      </c>
      <c r="T13" s="215">
        <f>SUMIFS('FY13-23 Full Data'!$AL10:$FA10,'FY13-23 Full Data'!$AL$2:$FA$2,'New Quarterly Report'!T$1,'FY13-23 Full Data'!$AL$3:$FA$3,'New Quarterly Report'!T$2)</f>
        <v>13279.849549999999</v>
      </c>
      <c r="U13" s="215">
        <f>SUMIFS('FY13-23 Full Data'!$AL10:$FA10,'FY13-23 Full Data'!$AL$2:$FA$2,'New Quarterly Report'!U$1,'FY13-23 Full Data'!$AL$3:$FA$3,'New Quarterly Report'!U$2)</f>
        <v>17630.533100000001</v>
      </c>
      <c r="V13" s="215">
        <f>SUMIFS('FY13-23 Full Data'!$AL10:$FA10,'FY13-23 Full Data'!$AL$2:$FA$2,'New Quarterly Report'!V$1,'FY13-23 Full Data'!$AL$3:$FA$3,'New Quarterly Report'!V$2)</f>
        <v>22308.957699999999</v>
      </c>
      <c r="W13" s="215">
        <f>SUMIFS('FY13-23 Full Data'!$AL10:$FA10,'FY13-23 Full Data'!$AL$2:$FA$2,'New Quarterly Report'!W$1,'FY13-23 Full Data'!$AL$3:$FA$3,'New Quarterly Report'!W$2)</f>
        <v>20015.807800000002</v>
      </c>
      <c r="X13" s="215">
        <f>SUMIFS('FY13-23 Full Data'!$AL10:$FA10,'FY13-23 Full Data'!$AL$2:$FA$2,'New Quarterly Report'!X$1,'FY13-23 Full Data'!$AL$3:$FA$3,'New Quarterly Report'!X$2)</f>
        <v>3506.9837999999995</v>
      </c>
      <c r="Y13" s="215">
        <f>SUMIFS('FY13-23 Full Data'!$AL10:$FA10,'FY13-23 Full Data'!$AL$2:$FA$2,'New Quarterly Report'!Y$1,'FY13-23 Full Data'!$AL$3:$FA$3,'New Quarterly Report'!Y$2)</f>
        <v>13479.110100000002</v>
      </c>
      <c r="Z13" s="215">
        <f>SUMIFS('FY13-23 Full Data'!$AL10:$FA10,'FY13-23 Full Data'!$AL$2:$FA$2,'New Quarterly Report'!Z$1,'FY13-23 Full Data'!$AL$3:$FA$3,'New Quarterly Report'!Z$2)</f>
        <v>25478.551699999996</v>
      </c>
      <c r="AA13" s="215">
        <f>SUMIFS('FY13-23 Full Data'!$AL10:$FA10,'FY13-23 Full Data'!$AL$2:$FA$2,'New Quarterly Report'!AA$1,'FY13-23 Full Data'!$AL$3:$FA$3,'New Quarterly Report'!AA$2)</f>
        <v>14231.12328</v>
      </c>
      <c r="AB13" s="215">
        <f>SUMIFS('FY13-23 Full Data'!$AL10:$FA10,'FY13-23 Full Data'!$AL$2:$FA$2,'New Quarterly Report'!AB$1,'FY13-23 Full Data'!$AL$3:$FA$3,'New Quarterly Report'!AB$2)</f>
        <v>8863.1071499999998</v>
      </c>
      <c r="AC13" s="215">
        <f>SUMIFS('FY13-23 Full Data'!$AL10:$FA10,'FY13-23 Full Data'!$AL$2:$FA$2,'New Quarterly Report'!AC$1,'FY13-23 Full Data'!$AL$3:$FA$3,'New Quarterly Report'!AC$2)</f>
        <v>7641.3720500000009</v>
      </c>
      <c r="AD13" s="215">
        <f>SUMIFS('FY13-23 Full Data'!$AL10:$FA10,'FY13-23 Full Data'!$AL$2:$FA$2,'New Quarterly Report'!AD$1,'FY13-23 Full Data'!$AL$3:$FA$3,'New Quarterly Report'!AD$2)</f>
        <v>30316.949050000003</v>
      </c>
      <c r="AE13" s="215">
        <f>SUMIFS('FY13-23 Full Data'!$AL10:$FA10,'FY13-23 Full Data'!$AL$2:$FA$2,'New Quarterly Report'!AE$1,'FY13-23 Full Data'!$AL$3:$FA$3,'New Quarterly Report'!AE$2)</f>
        <v>15093.2361</v>
      </c>
      <c r="AF13" s="215">
        <f>SUMIFS('FY13-23 Full Data'!$AL10:$FA10,'FY13-23 Full Data'!$AL$2:$FA$2,'New Quarterly Report'!AF$1,'FY13-23 Full Data'!$AL$3:$FA$3,'New Quarterly Report'!AF$2)</f>
        <v>9332.2131499999996</v>
      </c>
      <c r="AG13" s="215">
        <f>SUMIFS('FY13-23 Full Data'!$AL10:$FA10,'FY13-23 Full Data'!$AL$2:$FA$2,'New Quarterly Report'!AG$1,'FY13-23 Full Data'!$AL$3:$FA$3,'New Quarterly Report'!AG$2)</f>
        <v>10204.807999999999</v>
      </c>
      <c r="AH13" s="215">
        <f>SUMIFS('FY13-23 Full Data'!$AL10:$FA10,'FY13-23 Full Data'!$AL$2:$FA$2,'New Quarterly Report'!AH$1,'FY13-23 Full Data'!$AL$3:$FA$3,'New Quarterly Report'!AH$2)</f>
        <v>36067.840149999996</v>
      </c>
      <c r="AI13" s="215">
        <f>SUMIFS('FY13-23 Full Data'!$AL10:$FA10,'FY13-23 Full Data'!$AL$2:$FA$2,'New Quarterly Report'!AI$1,'FY13-23 Full Data'!$AL$3:$FA$3,'New Quarterly Report'!AI$2)</f>
        <v>11692.2505</v>
      </c>
      <c r="AJ13" s="215">
        <f>SUMIFS('FY13-23 Full Data'!$AL10:$FA10,'FY13-23 Full Data'!$AL$2:$FA$2,'New Quarterly Report'!AJ$1,'FY13-23 Full Data'!$AL$3:$FA$3,'New Quarterly Report'!AJ$2)</f>
        <v>7807.32</v>
      </c>
      <c r="AK13" s="215">
        <f>SUMIFS('FY13-23 Full Data'!$AL10:$FA10,'FY13-23 Full Data'!$AL$2:$FA$2,'New Quarterly Report'!AK$1,'FY13-23 Full Data'!$AL$3:$FA$3,'New Quarterly Report'!AK$2)</f>
        <v>12343.01</v>
      </c>
      <c r="AL13" s="215">
        <f>SUMIFS('FY13-23 Full Data'!$AL10:$FA10,'FY13-23 Full Data'!$AL$2:$FA$2,'New Quarterly Report'!AL$1,'FY13-23 Full Data'!$AL$3:$FA$3,'New Quarterly Report'!AL$2)</f>
        <v>37458.400000000001</v>
      </c>
      <c r="AM13" s="215">
        <f>SUMIFS('FY13-23 Full Data'!$AL10:$FA10,'FY13-23 Full Data'!$AL$2:$FA$2,'New Quarterly Report'!AM$1,'FY13-23 Full Data'!$AL$3:$FA$3,'New Quarterly Report'!AM$2)</f>
        <v>35237.440000000002</v>
      </c>
      <c r="AN13" s="215">
        <f>SUMIFS('FY13-23 Full Data'!$AL10:$FA10,'FY13-23 Full Data'!$AL$2:$FA$2,'New Quarterly Report'!AN$1,'FY13-23 Full Data'!$AL$3:$FA$3,'New Quarterly Report'!AN$2)</f>
        <v>24698</v>
      </c>
      <c r="AO13" s="215">
        <f>SUMIFS('FY13-23 Full Data'!$AL10:$FA10,'FY13-23 Full Data'!$AL$2:$FA$2,'New Quarterly Report'!AO$1,'FY13-23 Full Data'!$AL$3:$FA$3,'New Quarterly Report'!AO$2)</f>
        <v>11495</v>
      </c>
      <c r="AP13" s="215">
        <f>SUMIFS('FY13-23 Full Data'!$AL10:$FA10,'FY13-23 Full Data'!$AL$2:$FA$2,'New Quarterly Report'!AP$1,'FY13-23 Full Data'!$AL$3:$FA$3,'New Quarterly Report'!AP$2)</f>
        <v>32204</v>
      </c>
      <c r="AQ13" s="215">
        <f>SUMIFS('FY13-23 Full Data'!$AL10:$FA10,'FY13-23 Full Data'!$AL$2:$FA$2,'New Quarterly Report'!AQ$1,'FY13-23 Full Data'!$AL$3:$FA$3,'New Quarterly Report'!AQ$2)</f>
        <v>7466</v>
      </c>
    </row>
    <row r="14" spans="2:43" x14ac:dyDescent="0.25">
      <c r="B14" s="208" t="s">
        <v>127</v>
      </c>
      <c r="C14" s="208" t="s">
        <v>128</v>
      </c>
      <c r="D14" s="215">
        <f>SUMIFS('FY13-23 Full Data'!$AL11:$FA11,'FY13-23 Full Data'!$AL$2:$FA$2,'New Quarterly Report'!D$1,'FY13-23 Full Data'!$AL$3:$FA$3,'New Quarterly Report'!D$2)</f>
        <v>175738.6</v>
      </c>
      <c r="E14" s="215">
        <f>SUMIFS('FY13-23 Full Data'!$AL11:$FA11,'FY13-23 Full Data'!$AL$2:$FA$2,'New Quarterly Report'!E$1,'FY13-23 Full Data'!$AL$3:$FA$3,'New Quarterly Report'!E$2)</f>
        <v>152254.75893999997</v>
      </c>
      <c r="F14" s="215">
        <f>SUMIFS('FY13-23 Full Data'!$AL11:$FA11,'FY13-23 Full Data'!$AL$2:$FA$2,'New Quarterly Report'!F$1,'FY13-23 Full Data'!$AL$3:$FA$3,'New Quarterly Report'!F$2)</f>
        <v>261810.14614999999</v>
      </c>
      <c r="G14" s="215">
        <f>SUMIFS('FY13-23 Full Data'!$AL11:$FA11,'FY13-23 Full Data'!$AL$2:$FA$2,'New Quarterly Report'!G$1,'FY13-23 Full Data'!$AL$3:$FA$3,'New Quarterly Report'!G$2)</f>
        <v>326221.92372999998</v>
      </c>
      <c r="H14" s="215">
        <f>SUMIFS('FY13-23 Full Data'!$AL11:$FA11,'FY13-23 Full Data'!$AL$2:$FA$2,'New Quarterly Report'!H$1,'FY13-23 Full Data'!$AL$3:$FA$3,'New Quarterly Report'!H$2)</f>
        <v>151125.30504000001</v>
      </c>
      <c r="I14" s="215">
        <f>SUMIFS('FY13-23 Full Data'!$AL11:$FA11,'FY13-23 Full Data'!$AL$2:$FA$2,'New Quarterly Report'!I$1,'FY13-23 Full Data'!$AL$3:$FA$3,'New Quarterly Report'!I$2)</f>
        <v>99428.800009999992</v>
      </c>
      <c r="J14" s="215">
        <f>SUMIFS('FY13-23 Full Data'!$AL11:$FA11,'FY13-23 Full Data'!$AL$2:$FA$2,'New Quarterly Report'!J$1,'FY13-23 Full Data'!$AL$3:$FA$3,'New Quarterly Report'!J$2)</f>
        <v>225710.98161999998</v>
      </c>
      <c r="K14" s="215">
        <f>SUMIFS('FY13-23 Full Data'!$AL11:$FA11,'FY13-23 Full Data'!$AL$2:$FA$2,'New Quarterly Report'!K$1,'FY13-23 Full Data'!$AL$3:$FA$3,'New Quarterly Report'!K$2)</f>
        <v>322443.85631999996</v>
      </c>
      <c r="L14" s="215">
        <f>SUMIFS('FY13-23 Full Data'!$AL11:$FA11,'FY13-23 Full Data'!$AL$2:$FA$2,'New Quarterly Report'!L$1,'FY13-23 Full Data'!$AL$3:$FA$3,'New Quarterly Report'!L$2)</f>
        <v>215346.30969999998</v>
      </c>
      <c r="M14" s="215">
        <f>SUMIFS('FY13-23 Full Data'!$AL11:$FA11,'FY13-23 Full Data'!$AL$2:$FA$2,'New Quarterly Report'!M$1,'FY13-23 Full Data'!$AL$3:$FA$3,'New Quarterly Report'!M$2)</f>
        <v>111780.26087</v>
      </c>
      <c r="N14" s="215">
        <f>SUMIFS('FY13-23 Full Data'!$AL11:$FA11,'FY13-23 Full Data'!$AL$2:$FA$2,'New Quarterly Report'!N$1,'FY13-23 Full Data'!$AL$3:$FA$3,'New Quarterly Report'!N$2)</f>
        <v>213028.41780999996</v>
      </c>
      <c r="O14" s="215">
        <f>SUMIFS('FY13-23 Full Data'!$AL11:$FA11,'FY13-23 Full Data'!$AL$2:$FA$2,'New Quarterly Report'!O$1,'FY13-23 Full Data'!$AL$3:$FA$3,'New Quarterly Report'!O$2)</f>
        <v>382529.75607000006</v>
      </c>
      <c r="P14" s="215">
        <f>SUMIFS('FY13-23 Full Data'!$AL11:$FA11,'FY13-23 Full Data'!$AL$2:$FA$2,'New Quarterly Report'!P$1,'FY13-23 Full Data'!$AL$3:$FA$3,'New Quarterly Report'!P$2)</f>
        <v>173491.38345999998</v>
      </c>
      <c r="Q14" s="215">
        <f>SUMIFS('FY13-23 Full Data'!$AL11:$FA11,'FY13-23 Full Data'!$AL$2:$FA$2,'New Quarterly Report'!Q$1,'FY13-23 Full Data'!$AL$3:$FA$3,'New Quarterly Report'!Q$2)</f>
        <v>80682.916870000001</v>
      </c>
      <c r="R14" s="215">
        <f>SUMIFS('FY13-23 Full Data'!$AL11:$FA11,'FY13-23 Full Data'!$AL$2:$FA$2,'New Quarterly Report'!R$1,'FY13-23 Full Data'!$AL$3:$FA$3,'New Quarterly Report'!R$2)</f>
        <v>204933.58092999997</v>
      </c>
      <c r="S14" s="215">
        <f>SUMIFS('FY13-23 Full Data'!$AL11:$FA11,'FY13-23 Full Data'!$AL$2:$FA$2,'New Quarterly Report'!S$1,'FY13-23 Full Data'!$AL$3:$FA$3,'New Quarterly Report'!S$2)</f>
        <v>236353.06001000007</v>
      </c>
      <c r="T14" s="215">
        <f>SUMIFS('FY13-23 Full Data'!$AL11:$FA11,'FY13-23 Full Data'!$AL$2:$FA$2,'New Quarterly Report'!T$1,'FY13-23 Full Data'!$AL$3:$FA$3,'New Quarterly Report'!T$2)</f>
        <v>109016.74586999998</v>
      </c>
      <c r="U14" s="215">
        <f>SUMIFS('FY13-23 Full Data'!$AL11:$FA11,'FY13-23 Full Data'!$AL$2:$FA$2,'New Quarterly Report'!U$1,'FY13-23 Full Data'!$AL$3:$FA$3,'New Quarterly Report'!U$2)</f>
        <v>73809.819349999991</v>
      </c>
      <c r="V14" s="215">
        <f>SUMIFS('FY13-23 Full Data'!$AL11:$FA11,'FY13-23 Full Data'!$AL$2:$FA$2,'New Quarterly Report'!V$1,'FY13-23 Full Data'!$AL$3:$FA$3,'New Quarterly Report'!V$2)</f>
        <v>215445.01078000001</v>
      </c>
      <c r="W14" s="215">
        <f>SUMIFS('FY13-23 Full Data'!$AL11:$FA11,'FY13-23 Full Data'!$AL$2:$FA$2,'New Quarterly Report'!W$1,'FY13-23 Full Data'!$AL$3:$FA$3,'New Quarterly Report'!W$2)</f>
        <v>213234.90643999999</v>
      </c>
      <c r="X14" s="215">
        <f>SUMIFS('FY13-23 Full Data'!$AL11:$FA11,'FY13-23 Full Data'!$AL$2:$FA$2,'New Quarterly Report'!X$1,'FY13-23 Full Data'!$AL$3:$FA$3,'New Quarterly Report'!X$2)</f>
        <v>108281.34263999999</v>
      </c>
      <c r="Y14" s="215">
        <f>SUMIFS('FY13-23 Full Data'!$AL11:$FA11,'FY13-23 Full Data'!$AL$2:$FA$2,'New Quarterly Report'!Y$1,'FY13-23 Full Data'!$AL$3:$FA$3,'New Quarterly Report'!Y$2)</f>
        <v>69897.026740000001</v>
      </c>
      <c r="Z14" s="215">
        <f>SUMIFS('FY13-23 Full Data'!$AL11:$FA11,'FY13-23 Full Data'!$AL$2:$FA$2,'New Quarterly Report'!Z$1,'FY13-23 Full Data'!$AL$3:$FA$3,'New Quarterly Report'!Z$2)</f>
        <v>212680.54301000008</v>
      </c>
      <c r="AA14" s="215">
        <f>SUMIFS('FY13-23 Full Data'!$AL11:$FA11,'FY13-23 Full Data'!$AL$2:$FA$2,'New Quarterly Report'!AA$1,'FY13-23 Full Data'!$AL$3:$FA$3,'New Quarterly Report'!AA$2)</f>
        <v>222865.56081000002</v>
      </c>
      <c r="AB14" s="215">
        <f>SUMIFS('FY13-23 Full Data'!$AL11:$FA11,'FY13-23 Full Data'!$AL$2:$FA$2,'New Quarterly Report'!AB$1,'FY13-23 Full Data'!$AL$3:$FA$3,'New Quarterly Report'!AB$2)</f>
        <v>110230.73385999998</v>
      </c>
      <c r="AC14" s="215">
        <f>SUMIFS('FY13-23 Full Data'!$AL11:$FA11,'FY13-23 Full Data'!$AL$2:$FA$2,'New Quarterly Report'!AC$1,'FY13-23 Full Data'!$AL$3:$FA$3,'New Quarterly Report'!AC$2)</f>
        <v>72859.979090000008</v>
      </c>
      <c r="AD14" s="215">
        <f>SUMIFS('FY13-23 Full Data'!$AL11:$FA11,'FY13-23 Full Data'!$AL$2:$FA$2,'New Quarterly Report'!AD$1,'FY13-23 Full Data'!$AL$3:$FA$3,'New Quarterly Report'!AD$2)</f>
        <v>277378.28221000003</v>
      </c>
      <c r="AE14" s="215">
        <f>SUMIFS('FY13-23 Full Data'!$AL11:$FA11,'FY13-23 Full Data'!$AL$2:$FA$2,'New Quarterly Report'!AE$1,'FY13-23 Full Data'!$AL$3:$FA$3,'New Quarterly Report'!AE$2)</f>
        <v>162282.95951999997</v>
      </c>
      <c r="AF14" s="215">
        <f>SUMIFS('FY13-23 Full Data'!$AL11:$FA11,'FY13-23 Full Data'!$AL$2:$FA$2,'New Quarterly Report'!AF$1,'FY13-23 Full Data'!$AL$3:$FA$3,'New Quarterly Report'!AF$2)</f>
        <v>108241.41271999996</v>
      </c>
      <c r="AG14" s="215">
        <f>SUMIFS('FY13-23 Full Data'!$AL11:$FA11,'FY13-23 Full Data'!$AL$2:$FA$2,'New Quarterly Report'!AG$1,'FY13-23 Full Data'!$AL$3:$FA$3,'New Quarterly Report'!AG$2)</f>
        <v>114199.94717999999</v>
      </c>
      <c r="AH14" s="215">
        <f>SUMIFS('FY13-23 Full Data'!$AL11:$FA11,'FY13-23 Full Data'!$AL$2:$FA$2,'New Quarterly Report'!AH$1,'FY13-23 Full Data'!$AL$3:$FA$3,'New Quarterly Report'!AH$2)</f>
        <v>205751.58062999998</v>
      </c>
      <c r="AI14" s="215">
        <f>SUMIFS('FY13-23 Full Data'!$AL11:$FA11,'FY13-23 Full Data'!$AL$2:$FA$2,'New Quarterly Report'!AI$1,'FY13-23 Full Data'!$AL$3:$FA$3,'New Quarterly Report'!AI$2)</f>
        <v>179445.86014</v>
      </c>
      <c r="AJ14" s="215">
        <f>SUMIFS('FY13-23 Full Data'!$AL11:$FA11,'FY13-23 Full Data'!$AL$2:$FA$2,'New Quarterly Report'!AJ$1,'FY13-23 Full Data'!$AL$3:$FA$3,'New Quarterly Report'!AJ$2)</f>
        <v>89373.88</v>
      </c>
      <c r="AK14" s="215">
        <f>SUMIFS('FY13-23 Full Data'!$AL11:$FA11,'FY13-23 Full Data'!$AL$2:$FA$2,'New Quarterly Report'!AK$1,'FY13-23 Full Data'!$AL$3:$FA$3,'New Quarterly Report'!AK$2)</f>
        <v>82265.989999999991</v>
      </c>
      <c r="AL14" s="215">
        <f>SUMIFS('FY13-23 Full Data'!$AL11:$FA11,'FY13-23 Full Data'!$AL$2:$FA$2,'New Quarterly Report'!AL$1,'FY13-23 Full Data'!$AL$3:$FA$3,'New Quarterly Report'!AL$2)</f>
        <v>213900.59</v>
      </c>
      <c r="AM14" s="215">
        <f>SUMIFS('FY13-23 Full Data'!$AL11:$FA11,'FY13-23 Full Data'!$AL$2:$FA$2,'New Quarterly Report'!AM$1,'FY13-23 Full Data'!$AL$3:$FA$3,'New Quarterly Report'!AM$2)</f>
        <v>137796.72</v>
      </c>
      <c r="AN14" s="215">
        <f>SUMIFS('FY13-23 Full Data'!$AL11:$FA11,'FY13-23 Full Data'!$AL$2:$FA$2,'New Quarterly Report'!AN$1,'FY13-23 Full Data'!$AL$3:$FA$3,'New Quarterly Report'!AN$2)</f>
        <v>59799</v>
      </c>
      <c r="AO14" s="215">
        <f>SUMIFS('FY13-23 Full Data'!$AL11:$FA11,'FY13-23 Full Data'!$AL$2:$FA$2,'New Quarterly Report'!AO$1,'FY13-23 Full Data'!$AL$3:$FA$3,'New Quarterly Report'!AO$2)</f>
        <v>62898</v>
      </c>
      <c r="AP14" s="215">
        <f>SUMIFS('FY13-23 Full Data'!$AL11:$FA11,'FY13-23 Full Data'!$AL$2:$FA$2,'New Quarterly Report'!AP$1,'FY13-23 Full Data'!$AL$3:$FA$3,'New Quarterly Report'!AP$2)</f>
        <v>119318</v>
      </c>
      <c r="AQ14" s="215">
        <f>SUMIFS('FY13-23 Full Data'!$AL11:$FA11,'FY13-23 Full Data'!$AL$2:$FA$2,'New Quarterly Report'!AQ$1,'FY13-23 Full Data'!$AL$3:$FA$3,'New Quarterly Report'!AQ$2)</f>
        <v>132566</v>
      </c>
    </row>
    <row r="15" spans="2:43" x14ac:dyDescent="0.25">
      <c r="B15" s="208" t="s">
        <v>129</v>
      </c>
      <c r="C15" s="208" t="s">
        <v>130</v>
      </c>
      <c r="D15" s="215">
        <f>SUMIFS('FY13-23 Full Data'!$AL12:$FA12,'FY13-23 Full Data'!$AL$2:$FA$2,'New Quarterly Report'!D$1,'FY13-23 Full Data'!$AL$3:$FA$3,'New Quarterly Report'!D$2)</f>
        <v>16085.500000000002</v>
      </c>
      <c r="E15" s="215">
        <f>SUMIFS('FY13-23 Full Data'!$AL12:$FA12,'FY13-23 Full Data'!$AL$2:$FA$2,'New Quarterly Report'!E$1,'FY13-23 Full Data'!$AL$3:$FA$3,'New Quarterly Report'!E$2)</f>
        <v>16843.989600000001</v>
      </c>
      <c r="F15" s="215">
        <f>SUMIFS('FY13-23 Full Data'!$AL12:$FA12,'FY13-23 Full Data'!$AL$2:$FA$2,'New Quarterly Report'!F$1,'FY13-23 Full Data'!$AL$3:$FA$3,'New Quarterly Report'!F$2)</f>
        <v>27701.993050000005</v>
      </c>
      <c r="G15" s="215">
        <f>SUMIFS('FY13-23 Full Data'!$AL12:$FA12,'FY13-23 Full Data'!$AL$2:$FA$2,'New Quarterly Report'!G$1,'FY13-23 Full Data'!$AL$3:$FA$3,'New Quarterly Report'!G$2)</f>
        <v>18058.9398</v>
      </c>
      <c r="H15" s="215">
        <f>SUMIFS('FY13-23 Full Data'!$AL12:$FA12,'FY13-23 Full Data'!$AL$2:$FA$2,'New Quarterly Report'!H$1,'FY13-23 Full Data'!$AL$3:$FA$3,'New Quarterly Report'!H$2)</f>
        <v>23594.686129999995</v>
      </c>
      <c r="I15" s="215">
        <f>SUMIFS('FY13-23 Full Data'!$AL12:$FA12,'FY13-23 Full Data'!$AL$2:$FA$2,'New Quarterly Report'!I$1,'FY13-23 Full Data'!$AL$3:$FA$3,'New Quarterly Report'!I$2)</f>
        <v>9577.4143499999991</v>
      </c>
      <c r="J15" s="215">
        <f>SUMIFS('FY13-23 Full Data'!$AL12:$FA12,'FY13-23 Full Data'!$AL$2:$FA$2,'New Quarterly Report'!J$1,'FY13-23 Full Data'!$AL$3:$FA$3,'New Quarterly Report'!J$2)</f>
        <v>23745.087199999994</v>
      </c>
      <c r="K15" s="215">
        <f>SUMIFS('FY13-23 Full Data'!$AL12:$FA12,'FY13-23 Full Data'!$AL$2:$FA$2,'New Quarterly Report'!K$1,'FY13-23 Full Data'!$AL$3:$FA$3,'New Quarterly Report'!K$2)</f>
        <v>16135.88104</v>
      </c>
      <c r="L15" s="215">
        <f>SUMIFS('FY13-23 Full Data'!$AL12:$FA12,'FY13-23 Full Data'!$AL$2:$FA$2,'New Quarterly Report'!L$1,'FY13-23 Full Data'!$AL$3:$FA$3,'New Quarterly Report'!L$2)</f>
        <v>6783.9318399999993</v>
      </c>
      <c r="M15" s="215">
        <f>SUMIFS('FY13-23 Full Data'!$AL12:$FA12,'FY13-23 Full Data'!$AL$2:$FA$2,'New Quarterly Report'!M$1,'FY13-23 Full Data'!$AL$3:$FA$3,'New Quarterly Report'!M$2)</f>
        <v>6728.0598900000005</v>
      </c>
      <c r="N15" s="215">
        <f>SUMIFS('FY13-23 Full Data'!$AL12:$FA12,'FY13-23 Full Data'!$AL$2:$FA$2,'New Quarterly Report'!N$1,'FY13-23 Full Data'!$AL$3:$FA$3,'New Quarterly Report'!N$2)</f>
        <v>22183.787220000006</v>
      </c>
      <c r="O15" s="215">
        <f>SUMIFS('FY13-23 Full Data'!$AL12:$FA12,'FY13-23 Full Data'!$AL$2:$FA$2,'New Quarterly Report'!O$1,'FY13-23 Full Data'!$AL$3:$FA$3,'New Quarterly Report'!O$2)</f>
        <v>27542.359199999999</v>
      </c>
      <c r="P15" s="215">
        <f>SUMIFS('FY13-23 Full Data'!$AL12:$FA12,'FY13-23 Full Data'!$AL$2:$FA$2,'New Quarterly Report'!P$1,'FY13-23 Full Data'!$AL$3:$FA$3,'New Quarterly Report'!P$2)</f>
        <v>12284.942359999997</v>
      </c>
      <c r="Q15" s="215">
        <f>SUMIFS('FY13-23 Full Data'!$AL12:$FA12,'FY13-23 Full Data'!$AL$2:$FA$2,'New Quarterly Report'!Q$1,'FY13-23 Full Data'!$AL$3:$FA$3,'New Quarterly Report'!Q$2)</f>
        <v>8808.04745</v>
      </c>
      <c r="R15" s="215">
        <f>SUMIFS('FY13-23 Full Data'!$AL12:$FA12,'FY13-23 Full Data'!$AL$2:$FA$2,'New Quarterly Report'!R$1,'FY13-23 Full Data'!$AL$3:$FA$3,'New Quarterly Report'!R$2)</f>
        <v>17744.256820000002</v>
      </c>
      <c r="S15" s="215">
        <f>SUMIFS('FY13-23 Full Data'!$AL12:$FA12,'FY13-23 Full Data'!$AL$2:$FA$2,'New Quarterly Report'!S$1,'FY13-23 Full Data'!$AL$3:$FA$3,'New Quarterly Report'!S$2)</f>
        <v>27153.711599999995</v>
      </c>
      <c r="T15" s="215">
        <f>SUMIFS('FY13-23 Full Data'!$AL12:$FA12,'FY13-23 Full Data'!$AL$2:$FA$2,'New Quarterly Report'!T$1,'FY13-23 Full Data'!$AL$3:$FA$3,'New Quarterly Report'!T$2)</f>
        <v>10503.902399999999</v>
      </c>
      <c r="U15" s="215">
        <f>SUMIFS('FY13-23 Full Data'!$AL12:$FA12,'FY13-23 Full Data'!$AL$2:$FA$2,'New Quarterly Report'!U$1,'FY13-23 Full Data'!$AL$3:$FA$3,'New Quarterly Report'!U$2)</f>
        <v>9053.0201000000015</v>
      </c>
      <c r="V15" s="215">
        <f>SUMIFS('FY13-23 Full Data'!$AL12:$FA12,'FY13-23 Full Data'!$AL$2:$FA$2,'New Quarterly Report'!V$1,'FY13-23 Full Data'!$AL$3:$FA$3,'New Quarterly Report'!V$2)</f>
        <v>28375.0183</v>
      </c>
      <c r="W15" s="215">
        <f>SUMIFS('FY13-23 Full Data'!$AL12:$FA12,'FY13-23 Full Data'!$AL$2:$FA$2,'New Quarterly Report'!W$1,'FY13-23 Full Data'!$AL$3:$FA$3,'New Quarterly Report'!W$2)</f>
        <v>25716.832029999998</v>
      </c>
      <c r="X15" s="215">
        <f>SUMIFS('FY13-23 Full Data'!$AL12:$FA12,'FY13-23 Full Data'!$AL$2:$FA$2,'New Quarterly Report'!X$1,'FY13-23 Full Data'!$AL$3:$FA$3,'New Quarterly Report'!X$2)</f>
        <v>8559.541299999999</v>
      </c>
      <c r="Y15" s="215">
        <f>SUMIFS('FY13-23 Full Data'!$AL12:$FA12,'FY13-23 Full Data'!$AL$2:$FA$2,'New Quarterly Report'!Y$1,'FY13-23 Full Data'!$AL$3:$FA$3,'New Quarterly Report'!Y$2)</f>
        <v>15137.323999999999</v>
      </c>
      <c r="Z15" s="215">
        <f>SUMIFS('FY13-23 Full Data'!$AL12:$FA12,'FY13-23 Full Data'!$AL$2:$FA$2,'New Quarterly Report'!Z$1,'FY13-23 Full Data'!$AL$3:$FA$3,'New Quarterly Report'!Z$2)</f>
        <v>25200.749230000009</v>
      </c>
      <c r="AA15" s="215">
        <f>SUMIFS('FY13-23 Full Data'!$AL12:$FA12,'FY13-23 Full Data'!$AL$2:$FA$2,'New Quarterly Report'!AA$1,'FY13-23 Full Data'!$AL$3:$FA$3,'New Quarterly Report'!AA$2)</f>
        <v>15367.052830000001</v>
      </c>
      <c r="AB15" s="215">
        <f>SUMIFS('FY13-23 Full Data'!$AL12:$FA12,'FY13-23 Full Data'!$AL$2:$FA$2,'New Quarterly Report'!AB$1,'FY13-23 Full Data'!$AL$3:$FA$3,'New Quarterly Report'!AB$2)</f>
        <v>7998.1220999999996</v>
      </c>
      <c r="AC15" s="215">
        <f>SUMIFS('FY13-23 Full Data'!$AL12:$FA12,'FY13-23 Full Data'!$AL$2:$FA$2,'New Quarterly Report'!AC$1,'FY13-23 Full Data'!$AL$3:$FA$3,'New Quarterly Report'!AC$2)</f>
        <v>8746.6879499999995</v>
      </c>
      <c r="AD15" s="215">
        <f>SUMIFS('FY13-23 Full Data'!$AL12:$FA12,'FY13-23 Full Data'!$AL$2:$FA$2,'New Quarterly Report'!AD$1,'FY13-23 Full Data'!$AL$3:$FA$3,'New Quarterly Report'!AD$2)</f>
        <v>30613.022379999999</v>
      </c>
      <c r="AE15" s="215">
        <f>SUMIFS('FY13-23 Full Data'!$AL12:$FA12,'FY13-23 Full Data'!$AL$2:$FA$2,'New Quarterly Report'!AE$1,'FY13-23 Full Data'!$AL$3:$FA$3,'New Quarterly Report'!AE$2)</f>
        <v>59748.571339999995</v>
      </c>
      <c r="AF15" s="215">
        <f>SUMIFS('FY13-23 Full Data'!$AL12:$FA12,'FY13-23 Full Data'!$AL$2:$FA$2,'New Quarterly Report'!AF$1,'FY13-23 Full Data'!$AL$3:$FA$3,'New Quarterly Report'!AF$2)</f>
        <v>11294.514810000001</v>
      </c>
      <c r="AG15" s="215">
        <f>SUMIFS('FY13-23 Full Data'!$AL12:$FA12,'FY13-23 Full Data'!$AL$2:$FA$2,'New Quarterly Report'!AG$1,'FY13-23 Full Data'!$AL$3:$FA$3,'New Quarterly Report'!AG$2)</f>
        <v>6353.3169500000004</v>
      </c>
      <c r="AH15" s="215">
        <f>SUMIFS('FY13-23 Full Data'!$AL12:$FA12,'FY13-23 Full Data'!$AL$2:$FA$2,'New Quarterly Report'!AH$1,'FY13-23 Full Data'!$AL$3:$FA$3,'New Quarterly Report'!AH$2)</f>
        <v>55585.471420000002</v>
      </c>
      <c r="AI15" s="215">
        <f>SUMIFS('FY13-23 Full Data'!$AL12:$FA12,'FY13-23 Full Data'!$AL$2:$FA$2,'New Quarterly Report'!AI$1,'FY13-23 Full Data'!$AL$3:$FA$3,'New Quarterly Report'!AI$2)</f>
        <v>26778.833050000001</v>
      </c>
      <c r="AJ15" s="215">
        <f>SUMIFS('FY13-23 Full Data'!$AL12:$FA12,'FY13-23 Full Data'!$AL$2:$FA$2,'New Quarterly Report'!AJ$1,'FY13-23 Full Data'!$AL$3:$FA$3,'New Quarterly Report'!AJ$2)</f>
        <v>17080.86</v>
      </c>
      <c r="AK15" s="215">
        <f>SUMIFS('FY13-23 Full Data'!$AL12:$FA12,'FY13-23 Full Data'!$AL$2:$FA$2,'New Quarterly Report'!AK$1,'FY13-23 Full Data'!$AL$3:$FA$3,'New Quarterly Report'!AK$2)</f>
        <v>54034.729999999996</v>
      </c>
      <c r="AL15" s="215">
        <f>SUMIFS('FY13-23 Full Data'!$AL12:$FA12,'FY13-23 Full Data'!$AL$2:$FA$2,'New Quarterly Report'!AL$1,'FY13-23 Full Data'!$AL$3:$FA$3,'New Quarterly Report'!AL$2)</f>
        <v>28625.43</v>
      </c>
      <c r="AM15" s="215">
        <f>SUMIFS('FY13-23 Full Data'!$AL12:$FA12,'FY13-23 Full Data'!$AL$2:$FA$2,'New Quarterly Report'!AM$1,'FY13-23 Full Data'!$AL$3:$FA$3,'New Quarterly Report'!AM$2)</f>
        <v>25158.14</v>
      </c>
      <c r="AN15" s="215">
        <f>SUMIFS('FY13-23 Full Data'!$AL12:$FA12,'FY13-23 Full Data'!$AL$2:$FA$2,'New Quarterly Report'!AN$1,'FY13-23 Full Data'!$AL$3:$FA$3,'New Quarterly Report'!AN$2)</f>
        <v>4113</v>
      </c>
      <c r="AO15" s="215">
        <f>SUMIFS('FY13-23 Full Data'!$AL12:$FA12,'FY13-23 Full Data'!$AL$2:$FA$2,'New Quarterly Report'!AO$1,'FY13-23 Full Data'!$AL$3:$FA$3,'New Quarterly Report'!AO$2)</f>
        <v>17971</v>
      </c>
      <c r="AP15" s="215">
        <f>SUMIFS('FY13-23 Full Data'!$AL12:$FA12,'FY13-23 Full Data'!$AL$2:$FA$2,'New Quarterly Report'!AP$1,'FY13-23 Full Data'!$AL$3:$FA$3,'New Quarterly Report'!AP$2)</f>
        <v>16493</v>
      </c>
      <c r="AQ15" s="215">
        <f>SUMIFS('FY13-23 Full Data'!$AL12:$FA12,'FY13-23 Full Data'!$AL$2:$FA$2,'New Quarterly Report'!AQ$1,'FY13-23 Full Data'!$AL$3:$FA$3,'New Quarterly Report'!AQ$2)</f>
        <v>24621</v>
      </c>
    </row>
    <row r="16" spans="2:43" x14ac:dyDescent="0.25">
      <c r="B16" s="208" t="s">
        <v>131</v>
      </c>
      <c r="C16" s="208" t="s">
        <v>132</v>
      </c>
      <c r="D16" s="215">
        <f>SUMIFS('FY13-23 Full Data'!$AL13:$FA13,'FY13-23 Full Data'!$AL$2:$FA$2,'New Quarterly Report'!D$1,'FY13-23 Full Data'!$AL$3:$FA$3,'New Quarterly Report'!D$2)</f>
        <v>22000</v>
      </c>
      <c r="E16" s="215">
        <f>SUMIFS('FY13-23 Full Data'!$AL13:$FA13,'FY13-23 Full Data'!$AL$2:$FA$2,'New Quarterly Report'!E$1,'FY13-23 Full Data'!$AL$3:$FA$3,'New Quarterly Report'!E$2)</f>
        <v>17973.06034</v>
      </c>
      <c r="F16" s="215">
        <f>SUMIFS('FY13-23 Full Data'!$AL13:$FA13,'FY13-23 Full Data'!$AL$2:$FA$2,'New Quarterly Report'!F$1,'FY13-23 Full Data'!$AL$3:$FA$3,'New Quarterly Report'!F$2)</f>
        <v>42313.952250000002</v>
      </c>
      <c r="G16" s="215">
        <f>SUMIFS('FY13-23 Full Data'!$AL13:$FA13,'FY13-23 Full Data'!$AL$2:$FA$2,'New Quarterly Report'!G$1,'FY13-23 Full Data'!$AL$3:$FA$3,'New Quarterly Report'!G$2)</f>
        <v>58516.417059999992</v>
      </c>
      <c r="H16" s="215">
        <f>SUMIFS('FY13-23 Full Data'!$AL13:$FA13,'FY13-23 Full Data'!$AL$2:$FA$2,'New Quarterly Report'!H$1,'FY13-23 Full Data'!$AL$3:$FA$3,'New Quarterly Report'!H$2)</f>
        <v>32735.934739999997</v>
      </c>
      <c r="I16" s="215">
        <f>SUMIFS('FY13-23 Full Data'!$AL13:$FA13,'FY13-23 Full Data'!$AL$2:$FA$2,'New Quarterly Report'!I$1,'FY13-23 Full Data'!$AL$3:$FA$3,'New Quarterly Report'!I$2)</f>
        <v>18190.365139999998</v>
      </c>
      <c r="J16" s="215">
        <f>SUMIFS('FY13-23 Full Data'!$AL13:$FA13,'FY13-23 Full Data'!$AL$2:$FA$2,'New Quarterly Report'!J$1,'FY13-23 Full Data'!$AL$3:$FA$3,'New Quarterly Report'!J$2)</f>
        <v>54098.279330000005</v>
      </c>
      <c r="K16" s="215">
        <f>SUMIFS('FY13-23 Full Data'!$AL13:$FA13,'FY13-23 Full Data'!$AL$2:$FA$2,'New Quarterly Report'!K$1,'FY13-23 Full Data'!$AL$3:$FA$3,'New Quarterly Report'!K$2)</f>
        <v>47787.886119999996</v>
      </c>
      <c r="L16" s="215">
        <f>SUMIFS('FY13-23 Full Data'!$AL13:$FA13,'FY13-23 Full Data'!$AL$2:$FA$2,'New Quarterly Report'!L$1,'FY13-23 Full Data'!$AL$3:$FA$3,'New Quarterly Report'!L$2)</f>
        <v>75776.850879999998</v>
      </c>
      <c r="M16" s="215">
        <f>SUMIFS('FY13-23 Full Data'!$AL13:$FA13,'FY13-23 Full Data'!$AL$2:$FA$2,'New Quarterly Report'!M$1,'FY13-23 Full Data'!$AL$3:$FA$3,'New Quarterly Report'!M$2)</f>
        <v>26967.639520000004</v>
      </c>
      <c r="N16" s="215">
        <f>SUMIFS('FY13-23 Full Data'!$AL13:$FA13,'FY13-23 Full Data'!$AL$2:$FA$2,'New Quarterly Report'!N$1,'FY13-23 Full Data'!$AL$3:$FA$3,'New Quarterly Report'!N$2)</f>
        <v>96970.54628000001</v>
      </c>
      <c r="O16" s="215">
        <f>SUMIFS('FY13-23 Full Data'!$AL13:$FA13,'FY13-23 Full Data'!$AL$2:$FA$2,'New Quarterly Report'!O$1,'FY13-23 Full Data'!$AL$3:$FA$3,'New Quarterly Report'!O$2)</f>
        <v>70551.181389999983</v>
      </c>
      <c r="P16" s="215">
        <f>SUMIFS('FY13-23 Full Data'!$AL13:$FA13,'FY13-23 Full Data'!$AL$2:$FA$2,'New Quarterly Report'!P$1,'FY13-23 Full Data'!$AL$3:$FA$3,'New Quarterly Report'!P$2)</f>
        <v>29982.458869999999</v>
      </c>
      <c r="Q16" s="215">
        <f>SUMIFS('FY13-23 Full Data'!$AL13:$FA13,'FY13-23 Full Data'!$AL$2:$FA$2,'New Quarterly Report'!Q$1,'FY13-23 Full Data'!$AL$3:$FA$3,'New Quarterly Report'!Q$2)</f>
        <v>70321.916629999992</v>
      </c>
      <c r="R16" s="215">
        <f>SUMIFS('FY13-23 Full Data'!$AL13:$FA13,'FY13-23 Full Data'!$AL$2:$FA$2,'New Quarterly Report'!R$1,'FY13-23 Full Data'!$AL$3:$FA$3,'New Quarterly Report'!R$2)</f>
        <v>303604.03204999992</v>
      </c>
      <c r="S16" s="215">
        <f>SUMIFS('FY13-23 Full Data'!$AL13:$FA13,'FY13-23 Full Data'!$AL$2:$FA$2,'New Quarterly Report'!S$1,'FY13-23 Full Data'!$AL$3:$FA$3,'New Quarterly Report'!S$2)</f>
        <v>489466.99211999989</v>
      </c>
      <c r="T16" s="215">
        <f>SUMIFS('FY13-23 Full Data'!$AL13:$FA13,'FY13-23 Full Data'!$AL$2:$FA$2,'New Quarterly Report'!T$1,'FY13-23 Full Data'!$AL$3:$FA$3,'New Quarterly Report'!T$2)</f>
        <v>196109.39273999998</v>
      </c>
      <c r="U16" s="215">
        <f>SUMIFS('FY13-23 Full Data'!$AL13:$FA13,'FY13-23 Full Data'!$AL$2:$FA$2,'New Quarterly Report'!U$1,'FY13-23 Full Data'!$AL$3:$FA$3,'New Quarterly Report'!U$2)</f>
        <v>211871.61626000004</v>
      </c>
      <c r="V16" s="215">
        <f>SUMIFS('FY13-23 Full Data'!$AL13:$FA13,'FY13-23 Full Data'!$AL$2:$FA$2,'New Quarterly Report'!V$1,'FY13-23 Full Data'!$AL$3:$FA$3,'New Quarterly Report'!V$2)</f>
        <v>478001.90614999994</v>
      </c>
      <c r="W16" s="215">
        <f>SUMIFS('FY13-23 Full Data'!$AL13:$FA13,'FY13-23 Full Data'!$AL$2:$FA$2,'New Quarterly Report'!W$1,'FY13-23 Full Data'!$AL$3:$FA$3,'New Quarterly Report'!W$2)</f>
        <v>403380.99083999987</v>
      </c>
      <c r="X16" s="215">
        <f>SUMIFS('FY13-23 Full Data'!$AL13:$FA13,'FY13-23 Full Data'!$AL$2:$FA$2,'New Quarterly Report'!X$1,'FY13-23 Full Data'!$AL$3:$FA$3,'New Quarterly Report'!X$2)</f>
        <v>308296.85575999995</v>
      </c>
      <c r="Y16" s="215">
        <f>SUMIFS('FY13-23 Full Data'!$AL13:$FA13,'FY13-23 Full Data'!$AL$2:$FA$2,'New Quarterly Report'!Y$1,'FY13-23 Full Data'!$AL$3:$FA$3,'New Quarterly Report'!Y$2)</f>
        <v>253532.11711999992</v>
      </c>
      <c r="Z16" s="215">
        <f>SUMIFS('FY13-23 Full Data'!$AL13:$FA13,'FY13-23 Full Data'!$AL$2:$FA$2,'New Quarterly Report'!Z$1,'FY13-23 Full Data'!$AL$3:$FA$3,'New Quarterly Report'!Z$2)</f>
        <v>397257.47760000004</v>
      </c>
      <c r="AA16" s="215">
        <f>SUMIFS('FY13-23 Full Data'!$AL13:$FA13,'FY13-23 Full Data'!$AL$2:$FA$2,'New Quarterly Report'!AA$1,'FY13-23 Full Data'!$AL$3:$FA$3,'New Quarterly Report'!AA$2)</f>
        <v>336201.3247</v>
      </c>
      <c r="AB16" s="215">
        <f>SUMIFS('FY13-23 Full Data'!$AL13:$FA13,'FY13-23 Full Data'!$AL$2:$FA$2,'New Quarterly Report'!AB$1,'FY13-23 Full Data'!$AL$3:$FA$3,'New Quarterly Report'!AB$2)</f>
        <v>198355.98012000002</v>
      </c>
      <c r="AC16" s="215">
        <f>SUMIFS('FY13-23 Full Data'!$AL13:$FA13,'FY13-23 Full Data'!$AL$2:$FA$2,'New Quarterly Report'!AC$1,'FY13-23 Full Data'!$AL$3:$FA$3,'New Quarterly Report'!AC$2)</f>
        <v>181433.43345999997</v>
      </c>
      <c r="AD16" s="215">
        <f>SUMIFS('FY13-23 Full Data'!$AL13:$FA13,'FY13-23 Full Data'!$AL$2:$FA$2,'New Quarterly Report'!AD$1,'FY13-23 Full Data'!$AL$3:$FA$3,'New Quarterly Report'!AD$2)</f>
        <v>281411.83720000001</v>
      </c>
      <c r="AE16" s="215">
        <f>SUMIFS('FY13-23 Full Data'!$AL13:$FA13,'FY13-23 Full Data'!$AL$2:$FA$2,'New Quarterly Report'!AE$1,'FY13-23 Full Data'!$AL$3:$FA$3,'New Quarterly Report'!AE$2)</f>
        <v>262560.99789999996</v>
      </c>
      <c r="AF16" s="215">
        <f>SUMIFS('FY13-23 Full Data'!$AL13:$FA13,'FY13-23 Full Data'!$AL$2:$FA$2,'New Quarterly Report'!AF$1,'FY13-23 Full Data'!$AL$3:$FA$3,'New Quarterly Report'!AF$2)</f>
        <v>171980.03750000001</v>
      </c>
      <c r="AG16" s="215">
        <f>SUMIFS('FY13-23 Full Data'!$AL13:$FA13,'FY13-23 Full Data'!$AL$2:$FA$2,'New Quarterly Report'!AG$1,'FY13-23 Full Data'!$AL$3:$FA$3,'New Quarterly Report'!AG$2)</f>
        <v>100557.70667999999</v>
      </c>
      <c r="AH16" s="215">
        <f>SUMIFS('FY13-23 Full Data'!$AL13:$FA13,'FY13-23 Full Data'!$AL$2:$FA$2,'New Quarterly Report'!AH$1,'FY13-23 Full Data'!$AL$3:$FA$3,'New Quarterly Report'!AH$2)</f>
        <v>181895.75699999998</v>
      </c>
      <c r="AI16" s="215">
        <f>SUMIFS('FY13-23 Full Data'!$AL13:$FA13,'FY13-23 Full Data'!$AL$2:$FA$2,'New Quarterly Report'!AI$1,'FY13-23 Full Data'!$AL$3:$FA$3,'New Quarterly Report'!AI$2)</f>
        <v>296591.63899999997</v>
      </c>
      <c r="AJ16" s="215">
        <f>SUMIFS('FY13-23 Full Data'!$AL13:$FA13,'FY13-23 Full Data'!$AL$2:$FA$2,'New Quarterly Report'!AJ$1,'FY13-23 Full Data'!$AL$3:$FA$3,'New Quarterly Report'!AJ$2)</f>
        <v>153247.20000000001</v>
      </c>
      <c r="AK16" s="215">
        <f>SUMIFS('FY13-23 Full Data'!$AL13:$FA13,'FY13-23 Full Data'!$AL$2:$FA$2,'New Quarterly Report'!AK$1,'FY13-23 Full Data'!$AL$3:$FA$3,'New Quarterly Report'!AK$2)</f>
        <v>56733.36</v>
      </c>
      <c r="AL16" s="215">
        <f>SUMIFS('FY13-23 Full Data'!$AL13:$FA13,'FY13-23 Full Data'!$AL$2:$FA$2,'New Quarterly Report'!AL$1,'FY13-23 Full Data'!$AL$3:$FA$3,'New Quarterly Report'!AL$2)</f>
        <v>164344.02000000002</v>
      </c>
      <c r="AM16" s="215">
        <f>SUMIFS('FY13-23 Full Data'!$AL13:$FA13,'FY13-23 Full Data'!$AL$2:$FA$2,'New Quarterly Report'!AM$1,'FY13-23 Full Data'!$AL$3:$FA$3,'New Quarterly Report'!AM$2)</f>
        <v>106099.39</v>
      </c>
      <c r="AN16" s="215">
        <f>SUMIFS('FY13-23 Full Data'!$AL13:$FA13,'FY13-23 Full Data'!$AL$2:$FA$2,'New Quarterly Report'!AN$1,'FY13-23 Full Data'!$AL$3:$FA$3,'New Quarterly Report'!AN$2)</f>
        <v>97512</v>
      </c>
      <c r="AO16" s="215">
        <f>SUMIFS('FY13-23 Full Data'!$AL13:$FA13,'FY13-23 Full Data'!$AL$2:$FA$2,'New Quarterly Report'!AO$1,'FY13-23 Full Data'!$AL$3:$FA$3,'New Quarterly Report'!AO$2)</f>
        <v>29268</v>
      </c>
      <c r="AP16" s="215">
        <f>SUMIFS('FY13-23 Full Data'!$AL13:$FA13,'FY13-23 Full Data'!$AL$2:$FA$2,'New Quarterly Report'!AP$1,'FY13-23 Full Data'!$AL$3:$FA$3,'New Quarterly Report'!AP$2)</f>
        <v>92545</v>
      </c>
      <c r="AQ16" s="215">
        <f>SUMIFS('FY13-23 Full Data'!$AL13:$FA13,'FY13-23 Full Data'!$AL$2:$FA$2,'New Quarterly Report'!AQ$1,'FY13-23 Full Data'!$AL$3:$FA$3,'New Quarterly Report'!AQ$2)</f>
        <v>84617</v>
      </c>
    </row>
    <row r="17" spans="2:43" x14ac:dyDescent="0.25">
      <c r="B17" s="208" t="s">
        <v>133</v>
      </c>
      <c r="C17" s="208" t="s">
        <v>134</v>
      </c>
      <c r="D17" s="215">
        <f>SUMIFS('FY13-23 Full Data'!$AL14:$FA14,'FY13-23 Full Data'!$AL$2:$FA$2,'New Quarterly Report'!D$1,'FY13-23 Full Data'!$AL$3:$FA$3,'New Quarterly Report'!D$2)</f>
        <v>33087</v>
      </c>
      <c r="E17" s="215">
        <f>SUMIFS('FY13-23 Full Data'!$AL14:$FA14,'FY13-23 Full Data'!$AL$2:$FA$2,'New Quarterly Report'!E$1,'FY13-23 Full Data'!$AL$3:$FA$3,'New Quarterly Report'!E$2)</f>
        <v>28551.785149999996</v>
      </c>
      <c r="F17" s="215">
        <f>SUMIFS('FY13-23 Full Data'!$AL14:$FA14,'FY13-23 Full Data'!$AL$2:$FA$2,'New Quarterly Report'!F$1,'FY13-23 Full Data'!$AL$3:$FA$3,'New Quarterly Report'!F$2)</f>
        <v>36562.595300000001</v>
      </c>
      <c r="G17" s="215">
        <f>SUMIFS('FY13-23 Full Data'!$AL14:$FA14,'FY13-23 Full Data'!$AL$2:$FA$2,'New Quarterly Report'!G$1,'FY13-23 Full Data'!$AL$3:$FA$3,'New Quarterly Report'!G$2)</f>
        <v>55794.183610000007</v>
      </c>
      <c r="H17" s="215">
        <f>SUMIFS('FY13-23 Full Data'!$AL14:$FA14,'FY13-23 Full Data'!$AL$2:$FA$2,'New Quarterly Report'!H$1,'FY13-23 Full Data'!$AL$3:$FA$3,'New Quarterly Report'!H$2)</f>
        <v>24368.113690000002</v>
      </c>
      <c r="I17" s="215">
        <f>SUMIFS('FY13-23 Full Data'!$AL14:$FA14,'FY13-23 Full Data'!$AL$2:$FA$2,'New Quarterly Report'!I$1,'FY13-23 Full Data'!$AL$3:$FA$3,'New Quarterly Report'!I$2)</f>
        <v>16904.175739999999</v>
      </c>
      <c r="J17" s="215">
        <f>SUMIFS('FY13-23 Full Data'!$AL14:$FA14,'FY13-23 Full Data'!$AL$2:$FA$2,'New Quarterly Report'!J$1,'FY13-23 Full Data'!$AL$3:$FA$3,'New Quarterly Report'!J$2)</f>
        <v>28719.765510000001</v>
      </c>
      <c r="K17" s="215">
        <f>SUMIFS('FY13-23 Full Data'!$AL14:$FA14,'FY13-23 Full Data'!$AL$2:$FA$2,'New Quarterly Report'!K$1,'FY13-23 Full Data'!$AL$3:$FA$3,'New Quarterly Report'!K$2)</f>
        <v>43249.146099999998</v>
      </c>
      <c r="L17" s="215">
        <f>SUMIFS('FY13-23 Full Data'!$AL14:$FA14,'FY13-23 Full Data'!$AL$2:$FA$2,'New Quarterly Report'!L$1,'FY13-23 Full Data'!$AL$3:$FA$3,'New Quarterly Report'!L$2)</f>
        <v>27517.098470000001</v>
      </c>
      <c r="M17" s="215">
        <f>SUMIFS('FY13-23 Full Data'!$AL14:$FA14,'FY13-23 Full Data'!$AL$2:$FA$2,'New Quarterly Report'!M$1,'FY13-23 Full Data'!$AL$3:$FA$3,'New Quarterly Report'!M$2)</f>
        <v>13707.348130000002</v>
      </c>
      <c r="N17" s="215">
        <f>SUMIFS('FY13-23 Full Data'!$AL14:$FA14,'FY13-23 Full Data'!$AL$2:$FA$2,'New Quarterly Report'!N$1,'FY13-23 Full Data'!$AL$3:$FA$3,'New Quarterly Report'!N$2)</f>
        <v>24103.790330000003</v>
      </c>
      <c r="O17" s="215">
        <f>SUMIFS('FY13-23 Full Data'!$AL14:$FA14,'FY13-23 Full Data'!$AL$2:$FA$2,'New Quarterly Report'!O$1,'FY13-23 Full Data'!$AL$3:$FA$3,'New Quarterly Report'!O$2)</f>
        <v>43952.709789999994</v>
      </c>
      <c r="P17" s="215">
        <f>SUMIFS('FY13-23 Full Data'!$AL14:$FA14,'FY13-23 Full Data'!$AL$2:$FA$2,'New Quarterly Report'!P$1,'FY13-23 Full Data'!$AL$3:$FA$3,'New Quarterly Report'!P$2)</f>
        <v>15113.229800000001</v>
      </c>
      <c r="Q17" s="215">
        <f>SUMIFS('FY13-23 Full Data'!$AL14:$FA14,'FY13-23 Full Data'!$AL$2:$FA$2,'New Quarterly Report'!Q$1,'FY13-23 Full Data'!$AL$3:$FA$3,'New Quarterly Report'!Q$2)</f>
        <v>9651.5858200000002</v>
      </c>
      <c r="R17" s="215">
        <f>SUMIFS('FY13-23 Full Data'!$AL14:$FA14,'FY13-23 Full Data'!$AL$2:$FA$2,'New Quarterly Report'!R$1,'FY13-23 Full Data'!$AL$3:$FA$3,'New Quarterly Report'!R$2)</f>
        <v>17545.422730000002</v>
      </c>
      <c r="S17" s="215">
        <f>SUMIFS('FY13-23 Full Data'!$AL14:$FA14,'FY13-23 Full Data'!$AL$2:$FA$2,'New Quarterly Report'!S$1,'FY13-23 Full Data'!$AL$3:$FA$3,'New Quarterly Report'!S$2)</f>
        <v>24909.140460000002</v>
      </c>
      <c r="T17" s="215">
        <f>SUMIFS('FY13-23 Full Data'!$AL14:$FA14,'FY13-23 Full Data'!$AL$2:$FA$2,'New Quarterly Report'!T$1,'FY13-23 Full Data'!$AL$3:$FA$3,'New Quarterly Report'!T$2)</f>
        <v>15463.86033</v>
      </c>
      <c r="U17" s="215">
        <f>SUMIFS('FY13-23 Full Data'!$AL14:$FA14,'FY13-23 Full Data'!$AL$2:$FA$2,'New Quarterly Report'!U$1,'FY13-23 Full Data'!$AL$3:$FA$3,'New Quarterly Report'!U$2)</f>
        <v>14033.542630000002</v>
      </c>
      <c r="V17" s="215">
        <f>SUMIFS('FY13-23 Full Data'!$AL14:$FA14,'FY13-23 Full Data'!$AL$2:$FA$2,'New Quarterly Report'!V$1,'FY13-23 Full Data'!$AL$3:$FA$3,'New Quarterly Report'!V$2)</f>
        <v>30985.083589999998</v>
      </c>
      <c r="W17" s="215">
        <f>SUMIFS('FY13-23 Full Data'!$AL14:$FA14,'FY13-23 Full Data'!$AL$2:$FA$2,'New Quarterly Report'!W$1,'FY13-23 Full Data'!$AL$3:$FA$3,'New Quarterly Report'!W$2)</f>
        <v>24335.16446</v>
      </c>
      <c r="X17" s="215">
        <f>SUMIFS('FY13-23 Full Data'!$AL14:$FA14,'FY13-23 Full Data'!$AL$2:$FA$2,'New Quarterly Report'!X$1,'FY13-23 Full Data'!$AL$3:$FA$3,'New Quarterly Report'!X$2)</f>
        <v>17104.008349999996</v>
      </c>
      <c r="Y17" s="215">
        <f>SUMIFS('FY13-23 Full Data'!$AL14:$FA14,'FY13-23 Full Data'!$AL$2:$FA$2,'New Quarterly Report'!Y$1,'FY13-23 Full Data'!$AL$3:$FA$3,'New Quarterly Report'!Y$2)</f>
        <v>9472.9601700000003</v>
      </c>
      <c r="Z17" s="215">
        <f>SUMIFS('FY13-23 Full Data'!$AL14:$FA14,'FY13-23 Full Data'!$AL$2:$FA$2,'New Quarterly Report'!Z$1,'FY13-23 Full Data'!$AL$3:$FA$3,'New Quarterly Report'!Z$2)</f>
        <v>26848.12357</v>
      </c>
      <c r="AA17" s="215">
        <f>SUMIFS('FY13-23 Full Data'!$AL14:$FA14,'FY13-23 Full Data'!$AL$2:$FA$2,'New Quarterly Report'!AA$1,'FY13-23 Full Data'!$AL$3:$FA$3,'New Quarterly Report'!AA$2)</f>
        <v>28286.486219999995</v>
      </c>
      <c r="AB17" s="215">
        <f>SUMIFS('FY13-23 Full Data'!$AL14:$FA14,'FY13-23 Full Data'!$AL$2:$FA$2,'New Quarterly Report'!AB$1,'FY13-23 Full Data'!$AL$3:$FA$3,'New Quarterly Report'!AB$2)</f>
        <v>9153.3748200000009</v>
      </c>
      <c r="AC17" s="215">
        <f>SUMIFS('FY13-23 Full Data'!$AL14:$FA14,'FY13-23 Full Data'!$AL$2:$FA$2,'New Quarterly Report'!AC$1,'FY13-23 Full Data'!$AL$3:$FA$3,'New Quarterly Report'!AC$2)</f>
        <v>14507.033059999998</v>
      </c>
      <c r="AD17" s="215">
        <f>SUMIFS('FY13-23 Full Data'!$AL14:$FA14,'FY13-23 Full Data'!$AL$2:$FA$2,'New Quarterly Report'!AD$1,'FY13-23 Full Data'!$AL$3:$FA$3,'New Quarterly Report'!AD$2)</f>
        <v>27682.217869999997</v>
      </c>
      <c r="AE17" s="215">
        <f>SUMIFS('FY13-23 Full Data'!$AL14:$FA14,'FY13-23 Full Data'!$AL$2:$FA$2,'New Quarterly Report'!AE$1,'FY13-23 Full Data'!$AL$3:$FA$3,'New Quarterly Report'!AE$2)</f>
        <v>12824.55675</v>
      </c>
      <c r="AF17" s="215">
        <f>SUMIFS('FY13-23 Full Data'!$AL14:$FA14,'FY13-23 Full Data'!$AL$2:$FA$2,'New Quarterly Report'!AF$1,'FY13-23 Full Data'!$AL$3:$FA$3,'New Quarterly Report'!AF$2)</f>
        <v>15053.529070000001</v>
      </c>
      <c r="AG17" s="215">
        <f>SUMIFS('FY13-23 Full Data'!$AL14:$FA14,'FY13-23 Full Data'!$AL$2:$FA$2,'New Quarterly Report'!AG$1,'FY13-23 Full Data'!$AL$3:$FA$3,'New Quarterly Report'!AG$2)</f>
        <v>17476.848389999999</v>
      </c>
      <c r="AH17" s="215">
        <f>SUMIFS('FY13-23 Full Data'!$AL14:$FA14,'FY13-23 Full Data'!$AL$2:$FA$2,'New Quarterly Report'!AH$1,'FY13-23 Full Data'!$AL$3:$FA$3,'New Quarterly Report'!AH$2)</f>
        <v>24337.011350000001</v>
      </c>
      <c r="AI17" s="215">
        <f>SUMIFS('FY13-23 Full Data'!$AL14:$FA14,'FY13-23 Full Data'!$AL$2:$FA$2,'New Quarterly Report'!AI$1,'FY13-23 Full Data'!$AL$3:$FA$3,'New Quarterly Report'!AI$2)</f>
        <v>19404.514390000004</v>
      </c>
      <c r="AJ17" s="215">
        <f>SUMIFS('FY13-23 Full Data'!$AL14:$FA14,'FY13-23 Full Data'!$AL$2:$FA$2,'New Quarterly Report'!AJ$1,'FY13-23 Full Data'!$AL$3:$FA$3,'New Quarterly Report'!AJ$2)</f>
        <v>14413.099999999999</v>
      </c>
      <c r="AK17" s="215">
        <f>SUMIFS('FY13-23 Full Data'!$AL14:$FA14,'FY13-23 Full Data'!$AL$2:$FA$2,'New Quarterly Report'!AK$1,'FY13-23 Full Data'!$AL$3:$FA$3,'New Quarterly Report'!AK$2)</f>
        <v>13167.91</v>
      </c>
      <c r="AL17" s="215">
        <f>SUMIFS('FY13-23 Full Data'!$AL14:$FA14,'FY13-23 Full Data'!$AL$2:$FA$2,'New Quarterly Report'!AL$1,'FY13-23 Full Data'!$AL$3:$FA$3,'New Quarterly Report'!AL$2)</f>
        <v>21538.400000000001</v>
      </c>
      <c r="AM17" s="215">
        <f>SUMIFS('FY13-23 Full Data'!$AL14:$FA14,'FY13-23 Full Data'!$AL$2:$FA$2,'New Quarterly Report'!AM$1,'FY13-23 Full Data'!$AL$3:$FA$3,'New Quarterly Report'!AM$2)</f>
        <v>20184.23</v>
      </c>
      <c r="AN17" s="215">
        <f>SUMIFS('FY13-23 Full Data'!$AL14:$FA14,'FY13-23 Full Data'!$AL$2:$FA$2,'New Quarterly Report'!AN$1,'FY13-23 Full Data'!$AL$3:$FA$3,'New Quarterly Report'!AN$2)</f>
        <v>11280</v>
      </c>
      <c r="AO17" s="215">
        <f>SUMIFS('FY13-23 Full Data'!$AL14:$FA14,'FY13-23 Full Data'!$AL$2:$FA$2,'New Quarterly Report'!AO$1,'FY13-23 Full Data'!$AL$3:$FA$3,'New Quarterly Report'!AO$2)</f>
        <v>9834</v>
      </c>
      <c r="AP17" s="215">
        <f>SUMIFS('FY13-23 Full Data'!$AL14:$FA14,'FY13-23 Full Data'!$AL$2:$FA$2,'New Quarterly Report'!AP$1,'FY13-23 Full Data'!$AL$3:$FA$3,'New Quarterly Report'!AP$2)</f>
        <v>15296</v>
      </c>
      <c r="AQ17" s="215">
        <f>SUMIFS('FY13-23 Full Data'!$AL14:$FA14,'FY13-23 Full Data'!$AL$2:$FA$2,'New Quarterly Report'!AQ$1,'FY13-23 Full Data'!$AL$3:$FA$3,'New Quarterly Report'!AQ$2)</f>
        <v>20819</v>
      </c>
    </row>
    <row r="18" spans="2:43" x14ac:dyDescent="0.25">
      <c r="B18" s="208" t="s">
        <v>135</v>
      </c>
      <c r="C18" s="208" t="s">
        <v>136</v>
      </c>
      <c r="D18" s="215">
        <f>SUMIFS('FY13-23 Full Data'!$AL15:$FA15,'FY13-23 Full Data'!$AL$2:$FA$2,'New Quarterly Report'!D$1,'FY13-23 Full Data'!$AL$3:$FA$3,'New Quarterly Report'!D$2)</f>
        <v>113829</v>
      </c>
      <c r="E18" s="215">
        <f>SUMIFS('FY13-23 Full Data'!$AL15:$FA15,'FY13-23 Full Data'!$AL$2:$FA$2,'New Quarterly Report'!E$1,'FY13-23 Full Data'!$AL$3:$FA$3,'New Quarterly Report'!E$2)</f>
        <v>96129.340230000002</v>
      </c>
      <c r="F18" s="215">
        <f>SUMIFS('FY13-23 Full Data'!$AL15:$FA15,'FY13-23 Full Data'!$AL$2:$FA$2,'New Quarterly Report'!F$1,'FY13-23 Full Data'!$AL$3:$FA$3,'New Quarterly Report'!F$2)</f>
        <v>65995.225999999995</v>
      </c>
      <c r="G18" s="215">
        <f>SUMIFS('FY13-23 Full Data'!$AL15:$FA15,'FY13-23 Full Data'!$AL$2:$FA$2,'New Quarterly Report'!G$1,'FY13-23 Full Data'!$AL$3:$FA$3,'New Quarterly Report'!G$2)</f>
        <v>92154.105750000002</v>
      </c>
      <c r="H18" s="215">
        <f>SUMIFS('FY13-23 Full Data'!$AL15:$FA15,'FY13-23 Full Data'!$AL$2:$FA$2,'New Quarterly Report'!H$1,'FY13-23 Full Data'!$AL$3:$FA$3,'New Quarterly Report'!H$2)</f>
        <v>13341.182900000002</v>
      </c>
      <c r="I18" s="215">
        <f>SUMIFS('FY13-23 Full Data'!$AL15:$FA15,'FY13-23 Full Data'!$AL$2:$FA$2,'New Quarterly Report'!I$1,'FY13-23 Full Data'!$AL$3:$FA$3,'New Quarterly Report'!I$2)</f>
        <v>67804.85927999999</v>
      </c>
      <c r="J18" s="215">
        <f>SUMIFS('FY13-23 Full Data'!$AL15:$FA15,'FY13-23 Full Data'!$AL$2:$FA$2,'New Quarterly Report'!J$1,'FY13-23 Full Data'!$AL$3:$FA$3,'New Quarterly Report'!J$2)</f>
        <v>14083.999200000002</v>
      </c>
      <c r="K18" s="215">
        <f>SUMIFS('FY13-23 Full Data'!$AL15:$FA15,'FY13-23 Full Data'!$AL$2:$FA$2,'New Quarterly Report'!K$1,'FY13-23 Full Data'!$AL$3:$FA$3,'New Quarterly Report'!K$2)</f>
        <v>82451.821400000015</v>
      </c>
      <c r="L18" s="215">
        <f>SUMIFS('FY13-23 Full Data'!$AL15:$FA15,'FY13-23 Full Data'!$AL$2:$FA$2,'New Quarterly Report'!L$1,'FY13-23 Full Data'!$AL$3:$FA$3,'New Quarterly Report'!L$2)</f>
        <v>38964.147100000002</v>
      </c>
      <c r="M18" s="215">
        <f>SUMIFS('FY13-23 Full Data'!$AL15:$FA15,'FY13-23 Full Data'!$AL$2:$FA$2,'New Quarterly Report'!M$1,'FY13-23 Full Data'!$AL$3:$FA$3,'New Quarterly Report'!M$2)</f>
        <v>96088.58679999999</v>
      </c>
      <c r="N18" s="215">
        <f>SUMIFS('FY13-23 Full Data'!$AL15:$FA15,'FY13-23 Full Data'!$AL$2:$FA$2,'New Quarterly Report'!N$1,'FY13-23 Full Data'!$AL$3:$FA$3,'New Quarterly Report'!N$2)</f>
        <v>69655.486730000004</v>
      </c>
      <c r="O18" s="215">
        <f>SUMIFS('FY13-23 Full Data'!$AL15:$FA15,'FY13-23 Full Data'!$AL$2:$FA$2,'New Quarterly Report'!O$1,'FY13-23 Full Data'!$AL$3:$FA$3,'New Quarterly Report'!O$2)</f>
        <v>35170.014600000002</v>
      </c>
      <c r="P18" s="215">
        <f>SUMIFS('FY13-23 Full Data'!$AL15:$FA15,'FY13-23 Full Data'!$AL$2:$FA$2,'New Quarterly Report'!P$1,'FY13-23 Full Data'!$AL$3:$FA$3,'New Quarterly Report'!P$2)</f>
        <v>19690.975310000002</v>
      </c>
      <c r="Q18" s="215">
        <f>SUMIFS('FY13-23 Full Data'!$AL15:$FA15,'FY13-23 Full Data'!$AL$2:$FA$2,'New Quarterly Report'!Q$1,'FY13-23 Full Data'!$AL$3:$FA$3,'New Quarterly Report'!Q$2)</f>
        <v>91148.917799999996</v>
      </c>
      <c r="R18" s="215">
        <f>SUMIFS('FY13-23 Full Data'!$AL15:$FA15,'FY13-23 Full Data'!$AL$2:$FA$2,'New Quarterly Report'!R$1,'FY13-23 Full Data'!$AL$3:$FA$3,'New Quarterly Report'!R$2)</f>
        <v>45695.13076</v>
      </c>
      <c r="S18" s="215">
        <f>SUMIFS('FY13-23 Full Data'!$AL15:$FA15,'FY13-23 Full Data'!$AL$2:$FA$2,'New Quarterly Report'!S$1,'FY13-23 Full Data'!$AL$3:$FA$3,'New Quarterly Report'!S$2)</f>
        <v>51131.382960000003</v>
      </c>
      <c r="T18" s="215">
        <f>SUMIFS('FY13-23 Full Data'!$AL15:$FA15,'FY13-23 Full Data'!$AL$2:$FA$2,'New Quarterly Report'!T$1,'FY13-23 Full Data'!$AL$3:$FA$3,'New Quarterly Report'!T$2)</f>
        <v>42939.085249999996</v>
      </c>
      <c r="U18" s="215">
        <f>SUMIFS('FY13-23 Full Data'!$AL15:$FA15,'FY13-23 Full Data'!$AL$2:$FA$2,'New Quarterly Report'!U$1,'FY13-23 Full Data'!$AL$3:$FA$3,'New Quarterly Report'!U$2)</f>
        <v>27979.699139999997</v>
      </c>
      <c r="V18" s="215">
        <f>SUMIFS('FY13-23 Full Data'!$AL15:$FA15,'FY13-23 Full Data'!$AL$2:$FA$2,'New Quarterly Report'!V$1,'FY13-23 Full Data'!$AL$3:$FA$3,'New Quarterly Report'!V$2)</f>
        <v>48145.373390000001</v>
      </c>
      <c r="W18" s="215">
        <f>SUMIFS('FY13-23 Full Data'!$AL15:$FA15,'FY13-23 Full Data'!$AL$2:$FA$2,'New Quarterly Report'!W$1,'FY13-23 Full Data'!$AL$3:$FA$3,'New Quarterly Report'!W$2)</f>
        <v>19067.34921</v>
      </c>
      <c r="X18" s="215">
        <f>SUMIFS('FY13-23 Full Data'!$AL15:$FA15,'FY13-23 Full Data'!$AL$2:$FA$2,'New Quarterly Report'!X$1,'FY13-23 Full Data'!$AL$3:$FA$3,'New Quarterly Report'!X$2)</f>
        <v>372.67439999999999</v>
      </c>
      <c r="Y18" s="215">
        <f>SUMIFS('FY13-23 Full Data'!$AL15:$FA15,'FY13-23 Full Data'!$AL$2:$FA$2,'New Quarterly Report'!Y$1,'FY13-23 Full Data'!$AL$3:$FA$3,'New Quarterly Report'!Y$2)</f>
        <v>44333.33208</v>
      </c>
      <c r="Z18" s="215">
        <f>SUMIFS('FY13-23 Full Data'!$AL15:$FA15,'FY13-23 Full Data'!$AL$2:$FA$2,'New Quarterly Report'!Z$1,'FY13-23 Full Data'!$AL$3:$FA$3,'New Quarterly Report'!Z$2)</f>
        <v>45622.788400000005</v>
      </c>
      <c r="AA18" s="215">
        <f>SUMIFS('FY13-23 Full Data'!$AL15:$FA15,'FY13-23 Full Data'!$AL$2:$FA$2,'New Quarterly Report'!AA$1,'FY13-23 Full Data'!$AL$3:$FA$3,'New Quarterly Report'!AA$2)</f>
        <v>6066.7573000000002</v>
      </c>
      <c r="AB18" s="215">
        <f>SUMIFS('FY13-23 Full Data'!$AL15:$FA15,'FY13-23 Full Data'!$AL$2:$FA$2,'New Quarterly Report'!AB$1,'FY13-23 Full Data'!$AL$3:$FA$3,'New Quarterly Report'!AB$2)</f>
        <v>4105.919100000001</v>
      </c>
      <c r="AC18" s="215">
        <f>SUMIFS('FY13-23 Full Data'!$AL15:$FA15,'FY13-23 Full Data'!$AL$2:$FA$2,'New Quarterly Report'!AC$1,'FY13-23 Full Data'!$AL$3:$FA$3,'New Quarterly Report'!AC$2)</f>
        <v>6105.5295800000004</v>
      </c>
      <c r="AD18" s="215">
        <f>SUMIFS('FY13-23 Full Data'!$AL15:$FA15,'FY13-23 Full Data'!$AL$2:$FA$2,'New Quarterly Report'!AD$1,'FY13-23 Full Data'!$AL$3:$FA$3,'New Quarterly Report'!AD$2)</f>
        <v>27665.784649999994</v>
      </c>
      <c r="AE18" s="215">
        <f>SUMIFS('FY13-23 Full Data'!$AL15:$FA15,'FY13-23 Full Data'!$AL$2:$FA$2,'New Quarterly Report'!AE$1,'FY13-23 Full Data'!$AL$3:$FA$3,'New Quarterly Report'!AE$2)</f>
        <v>11846.56156</v>
      </c>
      <c r="AF18" s="215">
        <f>SUMIFS('FY13-23 Full Data'!$AL15:$FA15,'FY13-23 Full Data'!$AL$2:$FA$2,'New Quarterly Report'!AF$1,'FY13-23 Full Data'!$AL$3:$FA$3,'New Quarterly Report'!AF$2)</f>
        <v>21784.08354</v>
      </c>
      <c r="AG18" s="215">
        <f>SUMIFS('FY13-23 Full Data'!$AL15:$FA15,'FY13-23 Full Data'!$AL$2:$FA$2,'New Quarterly Report'!AG$1,'FY13-23 Full Data'!$AL$3:$FA$3,'New Quarterly Report'!AG$2)</f>
        <v>6738.1707499999993</v>
      </c>
      <c r="AH18" s="215">
        <f>SUMIFS('FY13-23 Full Data'!$AL15:$FA15,'FY13-23 Full Data'!$AL$2:$FA$2,'New Quarterly Report'!AH$1,'FY13-23 Full Data'!$AL$3:$FA$3,'New Quarterly Report'!AH$2)</f>
        <v>71642.01324</v>
      </c>
      <c r="AI18" s="215">
        <f>SUMIFS('FY13-23 Full Data'!$AL15:$FA15,'FY13-23 Full Data'!$AL$2:$FA$2,'New Quarterly Report'!AI$1,'FY13-23 Full Data'!$AL$3:$FA$3,'New Quarterly Report'!AI$2)</f>
        <v>39370.644500000002</v>
      </c>
      <c r="AJ18" s="215">
        <f>SUMIFS('FY13-23 Full Data'!$AL15:$FA15,'FY13-23 Full Data'!$AL$2:$FA$2,'New Quarterly Report'!AJ$1,'FY13-23 Full Data'!$AL$3:$FA$3,'New Quarterly Report'!AJ$2)</f>
        <v>24312.13</v>
      </c>
      <c r="AK18" s="215">
        <f>SUMIFS('FY13-23 Full Data'!$AL15:$FA15,'FY13-23 Full Data'!$AL$2:$FA$2,'New Quarterly Report'!AK$1,'FY13-23 Full Data'!$AL$3:$FA$3,'New Quarterly Report'!AK$2)</f>
        <v>33968.879999999997</v>
      </c>
      <c r="AL18" s="215">
        <f>SUMIFS('FY13-23 Full Data'!$AL15:$FA15,'FY13-23 Full Data'!$AL$2:$FA$2,'New Quarterly Report'!AL$1,'FY13-23 Full Data'!$AL$3:$FA$3,'New Quarterly Report'!AL$2)</f>
        <v>45477.239000000001</v>
      </c>
      <c r="AM18" s="215">
        <f>SUMIFS('FY13-23 Full Data'!$AL15:$FA15,'FY13-23 Full Data'!$AL$2:$FA$2,'New Quarterly Report'!AM$1,'FY13-23 Full Data'!$AL$3:$FA$3,'New Quarterly Report'!AM$2)</f>
        <v>48977.255499999999</v>
      </c>
      <c r="AN18" s="215">
        <f>SUMIFS('FY13-23 Full Data'!$AL15:$FA15,'FY13-23 Full Data'!$AL$2:$FA$2,'New Quarterly Report'!AN$1,'FY13-23 Full Data'!$AL$3:$FA$3,'New Quarterly Report'!AN$2)</f>
        <v>13111</v>
      </c>
      <c r="AO18" s="215">
        <f>SUMIFS('FY13-23 Full Data'!$AL15:$FA15,'FY13-23 Full Data'!$AL$2:$FA$2,'New Quarterly Report'!AO$1,'FY13-23 Full Data'!$AL$3:$FA$3,'New Quarterly Report'!AO$2)</f>
        <v>60245</v>
      </c>
      <c r="AP18" s="215">
        <f>SUMIFS('FY13-23 Full Data'!$AL15:$FA15,'FY13-23 Full Data'!$AL$2:$FA$2,'New Quarterly Report'!AP$1,'FY13-23 Full Data'!$AL$3:$FA$3,'New Quarterly Report'!AP$2)</f>
        <v>53569</v>
      </c>
      <c r="AQ18" s="215">
        <f>SUMIFS('FY13-23 Full Data'!$AL15:$FA15,'FY13-23 Full Data'!$AL$2:$FA$2,'New Quarterly Report'!AQ$1,'FY13-23 Full Data'!$AL$3:$FA$3,'New Quarterly Report'!AQ$2)</f>
        <v>572</v>
      </c>
    </row>
    <row r="19" spans="2:43" x14ac:dyDescent="0.25">
      <c r="B19" s="208" t="s">
        <v>137</v>
      </c>
      <c r="C19" s="208" t="s">
        <v>138</v>
      </c>
      <c r="D19" s="215">
        <f>SUMIFS('FY13-23 Full Data'!$AL16:$FA16,'FY13-23 Full Data'!$AL$2:$FA$2,'New Quarterly Report'!D$1,'FY13-23 Full Data'!$AL$3:$FA$3,'New Quarterly Report'!D$2)</f>
        <v>244584</v>
      </c>
      <c r="E19" s="215">
        <f>SUMIFS('FY13-23 Full Data'!$AL16:$FA16,'FY13-23 Full Data'!$AL$2:$FA$2,'New Quarterly Report'!E$1,'FY13-23 Full Data'!$AL$3:$FA$3,'New Quarterly Report'!E$2)</f>
        <v>238041.68701999995</v>
      </c>
      <c r="F19" s="215">
        <f>SUMIFS('FY13-23 Full Data'!$AL16:$FA16,'FY13-23 Full Data'!$AL$2:$FA$2,'New Quarterly Report'!F$1,'FY13-23 Full Data'!$AL$3:$FA$3,'New Quarterly Report'!F$2)</f>
        <v>142566.91519999999</v>
      </c>
      <c r="G19" s="215">
        <f>SUMIFS('FY13-23 Full Data'!$AL16:$FA16,'FY13-23 Full Data'!$AL$2:$FA$2,'New Quarterly Report'!G$1,'FY13-23 Full Data'!$AL$3:$FA$3,'New Quarterly Report'!G$2)</f>
        <v>139014.10980000001</v>
      </c>
      <c r="H19" s="215">
        <f>SUMIFS('FY13-23 Full Data'!$AL16:$FA16,'FY13-23 Full Data'!$AL$2:$FA$2,'New Quarterly Report'!H$1,'FY13-23 Full Data'!$AL$3:$FA$3,'New Quarterly Report'!H$2)</f>
        <v>5614.53</v>
      </c>
      <c r="I19" s="215">
        <f>SUMIFS('FY13-23 Full Data'!$AL16:$FA16,'FY13-23 Full Data'!$AL$2:$FA$2,'New Quarterly Report'!I$1,'FY13-23 Full Data'!$AL$3:$FA$3,'New Quarterly Report'!I$2)</f>
        <v>12219.92828</v>
      </c>
      <c r="J19" s="215">
        <f>SUMIFS('FY13-23 Full Data'!$AL16:$FA16,'FY13-23 Full Data'!$AL$2:$FA$2,'New Quarterly Report'!J$1,'FY13-23 Full Data'!$AL$3:$FA$3,'New Quarterly Report'!J$2)</f>
        <v>1985.001</v>
      </c>
      <c r="K19" s="215">
        <f>SUMIFS('FY13-23 Full Data'!$AL16:$FA16,'FY13-23 Full Data'!$AL$2:$FA$2,'New Quarterly Report'!K$1,'FY13-23 Full Data'!$AL$3:$FA$3,'New Quarterly Report'!K$2)</f>
        <v>6862.5723999999991</v>
      </c>
      <c r="L19" s="215">
        <f>SUMIFS('FY13-23 Full Data'!$AL16:$FA16,'FY13-23 Full Data'!$AL$2:$FA$2,'New Quarterly Report'!L$1,'FY13-23 Full Data'!$AL$3:$FA$3,'New Quarterly Report'!L$2)</f>
        <v>18861.2111</v>
      </c>
      <c r="M19" s="215">
        <f>SUMIFS('FY13-23 Full Data'!$AL16:$FA16,'FY13-23 Full Data'!$AL$2:$FA$2,'New Quarterly Report'!M$1,'FY13-23 Full Data'!$AL$3:$FA$3,'New Quarterly Report'!M$2)</f>
        <v>-5370.1604000000007</v>
      </c>
      <c r="N19" s="215">
        <f>SUMIFS('FY13-23 Full Data'!$AL16:$FA16,'FY13-23 Full Data'!$AL$2:$FA$2,'New Quarterly Report'!N$1,'FY13-23 Full Data'!$AL$3:$FA$3,'New Quarterly Report'!N$2)</f>
        <v>1832.0790000000002</v>
      </c>
      <c r="O19" s="215">
        <f>SUMIFS('FY13-23 Full Data'!$AL16:$FA16,'FY13-23 Full Data'!$AL$2:$FA$2,'New Quarterly Report'!O$1,'FY13-23 Full Data'!$AL$3:$FA$3,'New Quarterly Report'!O$2)</f>
        <v>1815.3729000000001</v>
      </c>
      <c r="P19" s="215">
        <f>SUMIFS('FY13-23 Full Data'!$AL16:$FA16,'FY13-23 Full Data'!$AL$2:$FA$2,'New Quarterly Report'!P$1,'FY13-23 Full Data'!$AL$3:$FA$3,'New Quarterly Report'!P$2)</f>
        <v>-318.36099999999976</v>
      </c>
      <c r="Q19" s="215">
        <f>SUMIFS('FY13-23 Full Data'!$AL16:$FA16,'FY13-23 Full Data'!$AL$2:$FA$2,'New Quarterly Report'!Q$1,'FY13-23 Full Data'!$AL$3:$FA$3,'New Quarterly Report'!Q$2)</f>
        <v>780.75265000000002</v>
      </c>
      <c r="R19" s="215">
        <f>SUMIFS('FY13-23 Full Data'!$AL16:$FA16,'FY13-23 Full Data'!$AL$2:$FA$2,'New Quarterly Report'!R$1,'FY13-23 Full Data'!$AL$3:$FA$3,'New Quarterly Report'!R$2)</f>
        <v>1156.6018500000002</v>
      </c>
      <c r="S19" s="215">
        <f>SUMIFS('FY13-23 Full Data'!$AL16:$FA16,'FY13-23 Full Data'!$AL$2:$FA$2,'New Quarterly Report'!S$1,'FY13-23 Full Data'!$AL$3:$FA$3,'New Quarterly Report'!S$2)</f>
        <v>-2265.8366999999998</v>
      </c>
      <c r="T19" s="215">
        <f>SUMIFS('FY13-23 Full Data'!$AL16:$FA16,'FY13-23 Full Data'!$AL$2:$FA$2,'New Quarterly Report'!T$1,'FY13-23 Full Data'!$AL$3:$FA$3,'New Quarterly Report'!T$2)</f>
        <v>393.81299999999999</v>
      </c>
      <c r="U19" s="215">
        <f>SUMIFS('FY13-23 Full Data'!$AL16:$FA16,'FY13-23 Full Data'!$AL$2:$FA$2,'New Quarterly Report'!U$1,'FY13-23 Full Data'!$AL$3:$FA$3,'New Quarterly Report'!U$2)</f>
        <v>897.70305000000008</v>
      </c>
      <c r="V19" s="215">
        <f>SUMIFS('FY13-23 Full Data'!$AL16:$FA16,'FY13-23 Full Data'!$AL$2:$FA$2,'New Quarterly Report'!V$1,'FY13-23 Full Data'!$AL$3:$FA$3,'New Quarterly Report'!V$2)</f>
        <v>454.8600000000003</v>
      </c>
      <c r="W19" s="215">
        <f>SUMIFS('FY13-23 Full Data'!$AL16:$FA16,'FY13-23 Full Data'!$AL$2:$FA$2,'New Quarterly Report'!W$1,'FY13-23 Full Data'!$AL$3:$FA$3,'New Quarterly Report'!W$2)</f>
        <v>-805.69769999999994</v>
      </c>
      <c r="X19" s="215">
        <f>SUMIFS('FY13-23 Full Data'!$AL16:$FA16,'FY13-23 Full Data'!$AL$2:$FA$2,'New Quarterly Report'!X$1,'FY13-23 Full Data'!$AL$3:$FA$3,'New Quarterly Report'!X$2)</f>
        <v>662.24250000000006</v>
      </c>
      <c r="Y19" s="215">
        <f>SUMIFS('FY13-23 Full Data'!$AL16:$FA16,'FY13-23 Full Data'!$AL$2:$FA$2,'New Quarterly Report'!Y$1,'FY13-23 Full Data'!$AL$3:$FA$3,'New Quarterly Report'!Y$2)</f>
        <v>-2123.5434999999998</v>
      </c>
      <c r="Z19" s="215">
        <f>SUMIFS('FY13-23 Full Data'!$AL16:$FA16,'FY13-23 Full Data'!$AL$2:$FA$2,'New Quarterly Report'!Z$1,'FY13-23 Full Data'!$AL$3:$FA$3,'New Quarterly Report'!Z$2)</f>
        <v>1182.2912999999999</v>
      </c>
      <c r="AA19" s="215">
        <f>SUMIFS('FY13-23 Full Data'!$AL16:$FA16,'FY13-23 Full Data'!$AL$2:$FA$2,'New Quarterly Report'!AA$1,'FY13-23 Full Data'!$AL$3:$FA$3,'New Quarterly Report'!AA$2)</f>
        <v>358.95224999999999</v>
      </c>
      <c r="AB19" s="215">
        <f>SUMIFS('FY13-23 Full Data'!$AL16:$FA16,'FY13-23 Full Data'!$AL$2:$FA$2,'New Quarterly Report'!AB$1,'FY13-23 Full Data'!$AL$3:$FA$3,'New Quarterly Report'!AB$2)</f>
        <v>286.68150000000003</v>
      </c>
      <c r="AC19" s="215">
        <f>SUMIFS('FY13-23 Full Data'!$AL16:$FA16,'FY13-23 Full Data'!$AL$2:$FA$2,'New Quarterly Report'!AC$1,'FY13-23 Full Data'!$AL$3:$FA$3,'New Quarterly Report'!AC$2)</f>
        <v>-2617.1332000000002</v>
      </c>
      <c r="AD19" s="215">
        <f>SUMIFS('FY13-23 Full Data'!$AL16:$FA16,'FY13-23 Full Data'!$AL$2:$FA$2,'New Quarterly Report'!AD$1,'FY13-23 Full Data'!$AL$3:$FA$3,'New Quarterly Report'!AD$2)</f>
        <v>641.90350000000001</v>
      </c>
      <c r="AE19" s="215">
        <f>SUMIFS('FY13-23 Full Data'!$AL16:$FA16,'FY13-23 Full Data'!$AL$2:$FA$2,'New Quarterly Report'!AE$1,'FY13-23 Full Data'!$AL$3:$FA$3,'New Quarterly Report'!AE$2)</f>
        <v>716.65679999999998</v>
      </c>
      <c r="AF19" s="215">
        <f>SUMIFS('FY13-23 Full Data'!$AL16:$FA16,'FY13-23 Full Data'!$AL$2:$FA$2,'New Quarterly Report'!AF$1,'FY13-23 Full Data'!$AL$3:$FA$3,'New Quarterly Report'!AF$2)</f>
        <v>620.77275000000009</v>
      </c>
      <c r="AG19" s="215">
        <f>SUMIFS('FY13-23 Full Data'!$AL16:$FA16,'FY13-23 Full Data'!$AL$2:$FA$2,'New Quarterly Report'!AG$1,'FY13-23 Full Data'!$AL$3:$FA$3,'New Quarterly Report'!AG$2)</f>
        <v>1006.2329</v>
      </c>
      <c r="AH19" s="215">
        <f>SUMIFS('FY13-23 Full Data'!$AL16:$FA16,'FY13-23 Full Data'!$AL$2:$FA$2,'New Quarterly Report'!AH$1,'FY13-23 Full Data'!$AL$3:$FA$3,'New Quarterly Report'!AH$2)</f>
        <v>190.02380000000002</v>
      </c>
      <c r="AI19" s="215">
        <f>SUMIFS('FY13-23 Full Data'!$AL16:$FA16,'FY13-23 Full Data'!$AL$2:$FA$2,'New Quarterly Report'!AI$1,'FY13-23 Full Data'!$AL$3:$FA$3,'New Quarterly Report'!AI$2)</f>
        <v>373</v>
      </c>
      <c r="AJ19" s="215">
        <f>SUMIFS('FY13-23 Full Data'!$AL16:$FA16,'FY13-23 Full Data'!$AL$2:$FA$2,'New Quarterly Report'!AJ$1,'FY13-23 Full Data'!$AL$3:$FA$3,'New Quarterly Report'!AJ$2)</f>
        <v>0</v>
      </c>
      <c r="AK19" s="215">
        <f>SUMIFS('FY13-23 Full Data'!$AL16:$FA16,'FY13-23 Full Data'!$AL$2:$FA$2,'New Quarterly Report'!AK$1,'FY13-23 Full Data'!$AL$3:$FA$3,'New Quarterly Report'!AK$2)</f>
        <v>0</v>
      </c>
      <c r="AL19" s="215">
        <f>SUMIFS('FY13-23 Full Data'!$AL16:$FA16,'FY13-23 Full Data'!$AL$2:$FA$2,'New Quarterly Report'!AL$1,'FY13-23 Full Data'!$AL$3:$FA$3,'New Quarterly Report'!AL$2)</f>
        <v>0</v>
      </c>
      <c r="AM19" s="215">
        <f>SUMIFS('FY13-23 Full Data'!$AL16:$FA16,'FY13-23 Full Data'!$AL$2:$FA$2,'New Quarterly Report'!AM$1,'FY13-23 Full Data'!$AL$3:$FA$3,'New Quarterly Report'!AM$2)</f>
        <v>0</v>
      </c>
      <c r="AN19" s="215">
        <f>SUMIFS('FY13-23 Full Data'!$AL16:$FA16,'FY13-23 Full Data'!$AL$2:$FA$2,'New Quarterly Report'!AN$1,'FY13-23 Full Data'!$AL$3:$FA$3,'New Quarterly Report'!AN$2)</f>
        <v>0</v>
      </c>
      <c r="AO19" s="215">
        <f>SUMIFS('FY13-23 Full Data'!$AL16:$FA16,'FY13-23 Full Data'!$AL$2:$FA$2,'New Quarterly Report'!AO$1,'FY13-23 Full Data'!$AL$3:$FA$3,'New Quarterly Report'!AO$2)</f>
        <v>0</v>
      </c>
      <c r="AP19" s="215">
        <f>SUMIFS('FY13-23 Full Data'!$AL16:$FA16,'FY13-23 Full Data'!$AL$2:$FA$2,'New Quarterly Report'!AP$1,'FY13-23 Full Data'!$AL$3:$FA$3,'New Quarterly Report'!AP$2)</f>
        <v>0</v>
      </c>
      <c r="AQ19" s="215">
        <f>SUMIFS('FY13-23 Full Data'!$AL16:$FA16,'FY13-23 Full Data'!$AL$2:$FA$2,'New Quarterly Report'!AQ$1,'FY13-23 Full Data'!$AL$3:$FA$3,'New Quarterly Report'!AQ$2)</f>
        <v>0</v>
      </c>
    </row>
    <row r="20" spans="2:43" x14ac:dyDescent="0.25">
      <c r="B20" s="208" t="s">
        <v>139</v>
      </c>
      <c r="C20" s="208" t="s">
        <v>140</v>
      </c>
      <c r="D20" s="215">
        <f>SUMIFS('FY13-23 Full Data'!$AL17:$FA17,'FY13-23 Full Data'!$AL$2:$FA$2,'New Quarterly Report'!D$1,'FY13-23 Full Data'!$AL$3:$FA$3,'New Quarterly Report'!D$2)</f>
        <v>11914.8</v>
      </c>
      <c r="E20" s="215">
        <f>SUMIFS('FY13-23 Full Data'!$AL17:$FA17,'FY13-23 Full Data'!$AL$2:$FA$2,'New Quarterly Report'!E$1,'FY13-23 Full Data'!$AL$3:$FA$3,'New Quarterly Report'!E$2)</f>
        <v>42984.097599999994</v>
      </c>
      <c r="F20" s="215">
        <f>SUMIFS('FY13-23 Full Data'!$AL17:$FA17,'FY13-23 Full Data'!$AL$2:$FA$2,'New Quarterly Report'!F$1,'FY13-23 Full Data'!$AL$3:$FA$3,'New Quarterly Report'!F$2)</f>
        <v>25589.713500000002</v>
      </c>
      <c r="G20" s="215">
        <f>SUMIFS('FY13-23 Full Data'!$AL17:$FA17,'FY13-23 Full Data'!$AL$2:$FA$2,'New Quarterly Report'!G$1,'FY13-23 Full Data'!$AL$3:$FA$3,'New Quarterly Report'!G$2)</f>
        <v>35627.467980000001</v>
      </c>
      <c r="H20" s="215">
        <f>SUMIFS('FY13-23 Full Data'!$AL17:$FA17,'FY13-23 Full Data'!$AL$2:$FA$2,'New Quarterly Report'!H$1,'FY13-23 Full Data'!$AL$3:$FA$3,'New Quarterly Report'!H$2)</f>
        <v>15439.260260000001</v>
      </c>
      <c r="I20" s="215">
        <f>SUMIFS('FY13-23 Full Data'!$AL17:$FA17,'FY13-23 Full Data'!$AL$2:$FA$2,'New Quarterly Report'!I$1,'FY13-23 Full Data'!$AL$3:$FA$3,'New Quarterly Report'!I$2)</f>
        <v>30856.089629999995</v>
      </c>
      <c r="J20" s="215">
        <f>SUMIFS('FY13-23 Full Data'!$AL17:$FA17,'FY13-23 Full Data'!$AL$2:$FA$2,'New Quarterly Report'!J$1,'FY13-23 Full Data'!$AL$3:$FA$3,'New Quarterly Report'!J$2)</f>
        <v>26952.737160000001</v>
      </c>
      <c r="K20" s="215">
        <f>SUMIFS('FY13-23 Full Data'!$AL17:$FA17,'FY13-23 Full Data'!$AL$2:$FA$2,'New Quarterly Report'!K$1,'FY13-23 Full Data'!$AL$3:$FA$3,'New Quarterly Report'!K$2)</f>
        <v>27082.399359999999</v>
      </c>
      <c r="L20" s="215">
        <f>SUMIFS('FY13-23 Full Data'!$AL17:$FA17,'FY13-23 Full Data'!$AL$2:$FA$2,'New Quarterly Report'!L$1,'FY13-23 Full Data'!$AL$3:$FA$3,'New Quarterly Report'!L$2)</f>
        <v>26952.737160000001</v>
      </c>
      <c r="M20" s="215">
        <f>SUMIFS('FY13-23 Full Data'!$AL17:$FA17,'FY13-23 Full Data'!$AL$2:$FA$2,'New Quarterly Report'!M$1,'FY13-23 Full Data'!$AL$3:$FA$3,'New Quarterly Report'!M$2)</f>
        <v>27082.399359999999</v>
      </c>
      <c r="N20" s="215">
        <f>SUMIFS('FY13-23 Full Data'!$AL17:$FA17,'FY13-23 Full Data'!$AL$2:$FA$2,'New Quarterly Report'!N$1,'FY13-23 Full Data'!$AL$3:$FA$3,'New Quarterly Report'!N$2)</f>
        <v>12055.885560000001</v>
      </c>
      <c r="O20" s="215">
        <f>SUMIFS('FY13-23 Full Data'!$AL17:$FA17,'FY13-23 Full Data'!$AL$2:$FA$2,'New Quarterly Report'!O$1,'FY13-23 Full Data'!$AL$3:$FA$3,'New Quarterly Report'!O$2)</f>
        <v>23975.21081</v>
      </c>
      <c r="P20" s="215">
        <f>SUMIFS('FY13-23 Full Data'!$AL17:$FA17,'FY13-23 Full Data'!$AL$2:$FA$2,'New Quarterly Report'!P$1,'FY13-23 Full Data'!$AL$3:$FA$3,'New Quarterly Report'!P$2)</f>
        <v>16311.134610000001</v>
      </c>
      <c r="Q20" s="215">
        <f>SUMIFS('FY13-23 Full Data'!$AL17:$FA17,'FY13-23 Full Data'!$AL$2:$FA$2,'New Quarterly Report'!Q$1,'FY13-23 Full Data'!$AL$3:$FA$3,'New Quarterly Report'!Q$2)</f>
        <v>58700.943749999999</v>
      </c>
      <c r="R20" s="215">
        <f>SUMIFS('FY13-23 Full Data'!$AL17:$FA17,'FY13-23 Full Data'!$AL$2:$FA$2,'New Quarterly Report'!R$1,'FY13-23 Full Data'!$AL$3:$FA$3,'New Quarterly Report'!R$2)</f>
        <v>36128.048999999999</v>
      </c>
      <c r="S20" s="215">
        <f>SUMIFS('FY13-23 Full Data'!$AL17:$FA17,'FY13-23 Full Data'!$AL$2:$FA$2,'New Quarterly Report'!S$1,'FY13-23 Full Data'!$AL$3:$FA$3,'New Quarterly Report'!S$2)</f>
        <v>30764.606360000002</v>
      </c>
      <c r="T20" s="215">
        <f>SUMIFS('FY13-23 Full Data'!$AL17:$FA17,'FY13-23 Full Data'!$AL$2:$FA$2,'New Quarterly Report'!T$1,'FY13-23 Full Data'!$AL$3:$FA$3,'New Quarterly Report'!T$2)</f>
        <v>12974.804</v>
      </c>
      <c r="U20" s="215">
        <f>SUMIFS('FY13-23 Full Data'!$AL17:$FA17,'FY13-23 Full Data'!$AL$2:$FA$2,'New Quarterly Report'!U$1,'FY13-23 Full Data'!$AL$3:$FA$3,'New Quarterly Report'!U$2)</f>
        <v>55652.185209999996</v>
      </c>
      <c r="V20" s="215">
        <f>SUMIFS('FY13-23 Full Data'!$AL17:$FA17,'FY13-23 Full Data'!$AL$2:$FA$2,'New Quarterly Report'!V$1,'FY13-23 Full Data'!$AL$3:$FA$3,'New Quarterly Report'!V$2)</f>
        <v>10334.25351</v>
      </c>
      <c r="W20" s="215">
        <f>SUMIFS('FY13-23 Full Data'!$AL17:$FA17,'FY13-23 Full Data'!$AL$2:$FA$2,'New Quarterly Report'!W$1,'FY13-23 Full Data'!$AL$3:$FA$3,'New Quarterly Report'!W$2)</f>
        <v>32030.748460000003</v>
      </c>
      <c r="X20" s="215">
        <f>SUMIFS('FY13-23 Full Data'!$AL17:$FA17,'FY13-23 Full Data'!$AL$2:$FA$2,'New Quarterly Report'!X$1,'FY13-23 Full Data'!$AL$3:$FA$3,'New Quarterly Report'!X$2)</f>
        <v>14863.413199999999</v>
      </c>
      <c r="Y20" s="215">
        <f>SUMIFS('FY13-23 Full Data'!$AL17:$FA17,'FY13-23 Full Data'!$AL$2:$FA$2,'New Quarterly Report'!Y$1,'FY13-23 Full Data'!$AL$3:$FA$3,'New Quarterly Report'!Y$2)</f>
        <v>40796.826099999998</v>
      </c>
      <c r="Z20" s="215">
        <f>SUMIFS('FY13-23 Full Data'!$AL17:$FA17,'FY13-23 Full Data'!$AL$2:$FA$2,'New Quarterly Report'!Z$1,'FY13-23 Full Data'!$AL$3:$FA$3,'New Quarterly Report'!Z$2)</f>
        <v>31879.324000000004</v>
      </c>
      <c r="AA20" s="215">
        <f>SUMIFS('FY13-23 Full Data'!$AL17:$FA17,'FY13-23 Full Data'!$AL$2:$FA$2,'New Quarterly Report'!AA$1,'FY13-23 Full Data'!$AL$3:$FA$3,'New Quarterly Report'!AA$2)</f>
        <v>23019.1378</v>
      </c>
      <c r="AB20" s="215">
        <f>SUMIFS('FY13-23 Full Data'!$AL17:$FA17,'FY13-23 Full Data'!$AL$2:$FA$2,'New Quarterly Report'!AB$1,'FY13-23 Full Data'!$AL$3:$FA$3,'New Quarterly Report'!AB$2)</f>
        <v>18465.179599999999</v>
      </c>
      <c r="AC20" s="215">
        <f>SUMIFS('FY13-23 Full Data'!$AL17:$FA17,'FY13-23 Full Data'!$AL$2:$FA$2,'New Quarterly Report'!AC$1,'FY13-23 Full Data'!$AL$3:$FA$3,'New Quarterly Report'!AC$2)</f>
        <v>37675.500749999999</v>
      </c>
      <c r="AD20" s="215">
        <f>SUMIFS('FY13-23 Full Data'!$AL17:$FA17,'FY13-23 Full Data'!$AL$2:$FA$2,'New Quarterly Report'!AD$1,'FY13-23 Full Data'!$AL$3:$FA$3,'New Quarterly Report'!AD$2)</f>
        <v>19005.438849999999</v>
      </c>
      <c r="AE20" s="215">
        <f>SUMIFS('FY13-23 Full Data'!$AL17:$FA17,'FY13-23 Full Data'!$AL$2:$FA$2,'New Quarterly Report'!AE$1,'FY13-23 Full Data'!$AL$3:$FA$3,'New Quarterly Report'!AE$2)</f>
        <v>30058.857250000001</v>
      </c>
      <c r="AF20" s="215">
        <f>SUMIFS('FY13-23 Full Data'!$AL17:$FA17,'FY13-23 Full Data'!$AL$2:$FA$2,'New Quarterly Report'!AF$1,'FY13-23 Full Data'!$AL$3:$FA$3,'New Quarterly Report'!AF$2)</f>
        <v>30324.205469999997</v>
      </c>
      <c r="AG20" s="215">
        <f>SUMIFS('FY13-23 Full Data'!$AL17:$FA17,'FY13-23 Full Data'!$AL$2:$FA$2,'New Quarterly Report'!AG$1,'FY13-23 Full Data'!$AL$3:$FA$3,'New Quarterly Report'!AG$2)</f>
        <v>47185.279920000001</v>
      </c>
      <c r="AH20" s="215">
        <f>SUMIFS('FY13-23 Full Data'!$AL17:$FA17,'FY13-23 Full Data'!$AL$2:$FA$2,'New Quarterly Report'!AH$1,'FY13-23 Full Data'!$AL$3:$FA$3,'New Quarterly Report'!AH$2)</f>
        <v>23918.029199999997</v>
      </c>
      <c r="AI20" s="215">
        <f>SUMIFS('FY13-23 Full Data'!$AL17:$FA17,'FY13-23 Full Data'!$AL$2:$FA$2,'New Quarterly Report'!AI$1,'FY13-23 Full Data'!$AL$3:$FA$3,'New Quarterly Report'!AI$2)</f>
        <v>34208.483200000002</v>
      </c>
      <c r="AJ20" s="215">
        <f>SUMIFS('FY13-23 Full Data'!$AL17:$FA17,'FY13-23 Full Data'!$AL$2:$FA$2,'New Quarterly Report'!AJ$1,'FY13-23 Full Data'!$AL$3:$FA$3,'New Quarterly Report'!AJ$2)</f>
        <v>27468.37</v>
      </c>
      <c r="AK20" s="215">
        <f>SUMIFS('FY13-23 Full Data'!$AL17:$FA17,'FY13-23 Full Data'!$AL$2:$FA$2,'New Quarterly Report'!AK$1,'FY13-23 Full Data'!$AL$3:$FA$3,'New Quarterly Report'!AK$2)</f>
        <v>53485.820000000007</v>
      </c>
      <c r="AL20" s="215">
        <f>SUMIFS('FY13-23 Full Data'!$AL17:$FA17,'FY13-23 Full Data'!$AL$2:$FA$2,'New Quarterly Report'!AL$1,'FY13-23 Full Data'!$AL$3:$FA$3,'New Quarterly Report'!AL$2)</f>
        <v>42846.48</v>
      </c>
      <c r="AM20" s="215">
        <f>SUMIFS('FY13-23 Full Data'!$AL17:$FA17,'FY13-23 Full Data'!$AL$2:$FA$2,'New Quarterly Report'!AM$1,'FY13-23 Full Data'!$AL$3:$FA$3,'New Quarterly Report'!AM$2)</f>
        <v>80474.8</v>
      </c>
      <c r="AN20" s="215">
        <f>SUMIFS('FY13-23 Full Data'!$AL17:$FA17,'FY13-23 Full Data'!$AL$2:$FA$2,'New Quarterly Report'!AN$1,'FY13-23 Full Data'!$AL$3:$FA$3,'New Quarterly Report'!AN$2)</f>
        <v>18575</v>
      </c>
      <c r="AO20" s="215">
        <f>SUMIFS('FY13-23 Full Data'!$AL17:$FA17,'FY13-23 Full Data'!$AL$2:$FA$2,'New Quarterly Report'!AO$1,'FY13-23 Full Data'!$AL$3:$FA$3,'New Quarterly Report'!AO$2)</f>
        <v>58532</v>
      </c>
      <c r="AP20" s="215">
        <f>SUMIFS('FY13-23 Full Data'!$AL17:$FA17,'FY13-23 Full Data'!$AL$2:$FA$2,'New Quarterly Report'!AP$1,'FY13-23 Full Data'!$AL$3:$FA$3,'New Quarterly Report'!AP$2)</f>
        <v>43213</v>
      </c>
      <c r="AQ20" s="215">
        <f>SUMIFS('FY13-23 Full Data'!$AL17:$FA17,'FY13-23 Full Data'!$AL$2:$FA$2,'New Quarterly Report'!AQ$1,'FY13-23 Full Data'!$AL$3:$FA$3,'New Quarterly Report'!AQ$2)</f>
        <v>152864</v>
      </c>
    </row>
    <row r="21" spans="2:43" x14ac:dyDescent="0.25">
      <c r="B21" s="208" t="s">
        <v>141</v>
      </c>
      <c r="C21" s="208" t="s">
        <v>142</v>
      </c>
      <c r="D21" s="215">
        <f>SUMIFS('FY13-23 Full Data'!$AL18:$FA18,'FY13-23 Full Data'!$AL$2:$FA$2,'New Quarterly Report'!D$1,'FY13-23 Full Data'!$AL$3:$FA$3,'New Quarterly Report'!D$2)</f>
        <v>1645</v>
      </c>
      <c r="E21" s="215">
        <f>SUMIFS('FY13-23 Full Data'!$AL18:$FA18,'FY13-23 Full Data'!$AL$2:$FA$2,'New Quarterly Report'!E$1,'FY13-23 Full Data'!$AL$3:$FA$3,'New Quarterly Report'!E$2)</f>
        <v>4541.6937500000004</v>
      </c>
      <c r="F21" s="215">
        <f>SUMIFS('FY13-23 Full Data'!$AL18:$FA18,'FY13-23 Full Data'!$AL$2:$FA$2,'New Quarterly Report'!F$1,'FY13-23 Full Data'!$AL$3:$FA$3,'New Quarterly Report'!F$2)</f>
        <v>13992.075500000003</v>
      </c>
      <c r="G21" s="215">
        <f>SUMIFS('FY13-23 Full Data'!$AL18:$FA18,'FY13-23 Full Data'!$AL$2:$FA$2,'New Quarterly Report'!G$1,'FY13-23 Full Data'!$AL$3:$FA$3,'New Quarterly Report'!G$2)</f>
        <v>8612.5130000000008</v>
      </c>
      <c r="H21" s="215">
        <f>SUMIFS('FY13-23 Full Data'!$AL18:$FA18,'FY13-23 Full Data'!$AL$2:$FA$2,'New Quarterly Report'!H$1,'FY13-23 Full Data'!$AL$3:$FA$3,'New Quarterly Report'!H$2)</f>
        <v>1624.4945</v>
      </c>
      <c r="I21" s="215">
        <f>SUMIFS('FY13-23 Full Data'!$AL18:$FA18,'FY13-23 Full Data'!$AL$2:$FA$2,'New Quarterly Report'!I$1,'FY13-23 Full Data'!$AL$3:$FA$3,'New Quarterly Report'!I$2)</f>
        <v>2157.6640000000002</v>
      </c>
      <c r="J21" s="215">
        <f>SUMIFS('FY13-23 Full Data'!$AL18:$FA18,'FY13-23 Full Data'!$AL$2:$FA$2,'New Quarterly Report'!J$1,'FY13-23 Full Data'!$AL$3:$FA$3,'New Quarterly Report'!J$2)</f>
        <v>8650.3660000000018</v>
      </c>
      <c r="K21" s="215">
        <f>SUMIFS('FY13-23 Full Data'!$AL18:$FA18,'FY13-23 Full Data'!$AL$2:$FA$2,'New Quarterly Report'!K$1,'FY13-23 Full Data'!$AL$3:$FA$3,'New Quarterly Report'!K$2)</f>
        <v>3781.4107500000005</v>
      </c>
      <c r="L21" s="215">
        <f>SUMIFS('FY13-23 Full Data'!$AL18:$FA18,'FY13-23 Full Data'!$AL$2:$FA$2,'New Quarterly Report'!L$1,'FY13-23 Full Data'!$AL$3:$FA$3,'New Quarterly Report'!L$2)</f>
        <v>5264.1820000000007</v>
      </c>
      <c r="M21" s="215">
        <f>SUMIFS('FY13-23 Full Data'!$AL18:$FA18,'FY13-23 Full Data'!$AL$2:$FA$2,'New Quarterly Report'!M$1,'FY13-23 Full Data'!$AL$3:$FA$3,'New Quarterly Report'!M$2)</f>
        <v>1304.19</v>
      </c>
      <c r="N21" s="215">
        <f>SUMIFS('FY13-23 Full Data'!$AL18:$FA18,'FY13-23 Full Data'!$AL$2:$FA$2,'New Quarterly Report'!N$1,'FY13-23 Full Data'!$AL$3:$FA$3,'New Quarterly Report'!N$2)</f>
        <v>782.38249999999994</v>
      </c>
      <c r="O21" s="215">
        <f>SUMIFS('FY13-23 Full Data'!$AL18:$FA18,'FY13-23 Full Data'!$AL$2:$FA$2,'New Quarterly Report'!O$1,'FY13-23 Full Data'!$AL$3:$FA$3,'New Quarterly Report'!O$2)</f>
        <v>931.99249999999995</v>
      </c>
      <c r="P21" s="215">
        <f>SUMIFS('FY13-23 Full Data'!$AL18:$FA18,'FY13-23 Full Data'!$AL$2:$FA$2,'New Quarterly Report'!P$1,'FY13-23 Full Data'!$AL$3:$FA$3,'New Quarterly Report'!P$2)</f>
        <v>782.38249999999994</v>
      </c>
      <c r="Q21" s="215">
        <f>SUMIFS('FY13-23 Full Data'!$AL18:$FA18,'FY13-23 Full Data'!$AL$2:$FA$2,'New Quarterly Report'!Q$1,'FY13-23 Full Data'!$AL$3:$FA$3,'New Quarterly Report'!Q$2)</f>
        <v>931.99249999999995</v>
      </c>
      <c r="R21" s="215">
        <f>SUMIFS('FY13-23 Full Data'!$AL18:$FA18,'FY13-23 Full Data'!$AL$2:$FA$2,'New Quarterly Report'!R$1,'FY13-23 Full Data'!$AL$3:$FA$3,'New Quarterly Report'!R$2)</f>
        <v>6899.7099999999991</v>
      </c>
      <c r="S21" s="215">
        <f>SUMIFS('FY13-23 Full Data'!$AL18:$FA18,'FY13-23 Full Data'!$AL$2:$FA$2,'New Quarterly Report'!S$1,'FY13-23 Full Data'!$AL$3:$FA$3,'New Quarterly Report'!S$2)</f>
        <v>2269.1750000000002</v>
      </c>
      <c r="T21" s="215">
        <f>SUMIFS('FY13-23 Full Data'!$AL18:$FA18,'FY13-23 Full Data'!$AL$2:$FA$2,'New Quarterly Report'!T$1,'FY13-23 Full Data'!$AL$3:$FA$3,'New Quarterly Report'!T$2)</f>
        <v>439.64875000000001</v>
      </c>
      <c r="U21" s="215">
        <f>SUMIFS('FY13-23 Full Data'!$AL18:$FA18,'FY13-23 Full Data'!$AL$2:$FA$2,'New Quarterly Report'!U$1,'FY13-23 Full Data'!$AL$3:$FA$3,'New Quarterly Report'!U$2)</f>
        <v>1284.9275</v>
      </c>
      <c r="V21" s="215">
        <f>SUMIFS('FY13-23 Full Data'!$AL18:$FA18,'FY13-23 Full Data'!$AL$2:$FA$2,'New Quarterly Report'!V$1,'FY13-23 Full Data'!$AL$3:$FA$3,'New Quarterly Report'!V$2)</f>
        <v>2740.6514999999999</v>
      </c>
      <c r="W21" s="215">
        <f>SUMIFS('FY13-23 Full Data'!$AL18:$FA18,'FY13-23 Full Data'!$AL$2:$FA$2,'New Quarterly Report'!W$1,'FY13-23 Full Data'!$AL$3:$FA$3,'New Quarterly Report'!W$2)</f>
        <v>2420.2424999999998</v>
      </c>
      <c r="X21" s="215">
        <f>SUMIFS('FY13-23 Full Data'!$AL18:$FA18,'FY13-23 Full Data'!$AL$2:$FA$2,'New Quarterly Report'!X$1,'FY13-23 Full Data'!$AL$3:$FA$3,'New Quarterly Report'!X$2)</f>
        <v>3720.9924999999998</v>
      </c>
      <c r="Y21" s="215">
        <f>SUMIFS('FY13-23 Full Data'!$AL18:$FA18,'FY13-23 Full Data'!$AL$2:$FA$2,'New Quarterly Report'!Y$1,'FY13-23 Full Data'!$AL$3:$FA$3,'New Quarterly Report'!Y$2)</f>
        <v>-23678.897500000003</v>
      </c>
      <c r="Z21" s="215">
        <f>SUMIFS('FY13-23 Full Data'!$AL18:$FA18,'FY13-23 Full Data'!$AL$2:$FA$2,'New Quarterly Report'!Z$1,'FY13-23 Full Data'!$AL$3:$FA$3,'New Quarterly Report'!Z$2)</f>
        <v>12291.372499999998</v>
      </c>
      <c r="AA21" s="215">
        <f>SUMIFS('FY13-23 Full Data'!$AL18:$FA18,'FY13-23 Full Data'!$AL$2:$FA$2,'New Quarterly Report'!AA$1,'FY13-23 Full Data'!$AL$3:$FA$3,'New Quarterly Report'!AA$2)</f>
        <v>2757.1231299999999</v>
      </c>
      <c r="AB21" s="215">
        <f>SUMIFS('FY13-23 Full Data'!$AL18:$FA18,'FY13-23 Full Data'!$AL$2:$FA$2,'New Quarterly Report'!AB$1,'FY13-23 Full Data'!$AL$3:$FA$3,'New Quarterly Report'!AB$2)</f>
        <v>-30819.012999999995</v>
      </c>
      <c r="AC21" s="215">
        <f>SUMIFS('FY13-23 Full Data'!$AL18:$FA18,'FY13-23 Full Data'!$AL$2:$FA$2,'New Quarterly Report'!AC$1,'FY13-23 Full Data'!$AL$3:$FA$3,'New Quarterly Report'!AC$2)</f>
        <v>2725.8194999999996</v>
      </c>
      <c r="AD21" s="215">
        <f>SUMIFS('FY13-23 Full Data'!$AL18:$FA18,'FY13-23 Full Data'!$AL$2:$FA$2,'New Quarterly Report'!AD$1,'FY13-23 Full Data'!$AL$3:$FA$3,'New Quarterly Report'!AD$2)</f>
        <v>9587.3711999999996</v>
      </c>
      <c r="AE21" s="215">
        <f>SUMIFS('FY13-23 Full Data'!$AL18:$FA18,'FY13-23 Full Data'!$AL$2:$FA$2,'New Quarterly Report'!AE$1,'FY13-23 Full Data'!$AL$3:$FA$3,'New Quarterly Report'!AE$2)</f>
        <v>2219.6026000000002</v>
      </c>
      <c r="AF21" s="215">
        <f>SUMIFS('FY13-23 Full Data'!$AL18:$FA18,'FY13-23 Full Data'!$AL$2:$FA$2,'New Quarterly Report'!AF$1,'FY13-23 Full Data'!$AL$3:$FA$3,'New Quarterly Report'!AF$2)</f>
        <v>874.21199999999999</v>
      </c>
      <c r="AG21" s="215">
        <f>SUMIFS('FY13-23 Full Data'!$AL18:$FA18,'FY13-23 Full Data'!$AL$2:$FA$2,'New Quarterly Report'!AG$1,'FY13-23 Full Data'!$AL$3:$FA$3,'New Quarterly Report'!AG$2)</f>
        <v>2307.1931</v>
      </c>
      <c r="AH21" s="215">
        <f>SUMIFS('FY13-23 Full Data'!$AL18:$FA18,'FY13-23 Full Data'!$AL$2:$FA$2,'New Quarterly Report'!AH$1,'FY13-23 Full Data'!$AL$3:$FA$3,'New Quarterly Report'!AH$2)</f>
        <v>8352.6777500000007</v>
      </c>
      <c r="AI21" s="215">
        <f>SUMIFS('FY13-23 Full Data'!$AL18:$FA18,'FY13-23 Full Data'!$AL$2:$FA$2,'New Quarterly Report'!AI$1,'FY13-23 Full Data'!$AL$3:$FA$3,'New Quarterly Report'!AI$2)</f>
        <v>3730.3130000000001</v>
      </c>
      <c r="AJ21" s="215">
        <f>SUMIFS('FY13-23 Full Data'!$AL18:$FA18,'FY13-23 Full Data'!$AL$2:$FA$2,'New Quarterly Report'!AJ$1,'FY13-23 Full Data'!$AL$3:$FA$3,'New Quarterly Report'!AJ$2)</f>
        <v>43365.560000000005</v>
      </c>
      <c r="AK21" s="215">
        <f>SUMIFS('FY13-23 Full Data'!$AL18:$FA18,'FY13-23 Full Data'!$AL$2:$FA$2,'New Quarterly Report'!AK$1,'FY13-23 Full Data'!$AL$3:$FA$3,'New Quarterly Report'!AK$2)</f>
        <v>2420.19</v>
      </c>
      <c r="AL21" s="215">
        <f>SUMIFS('FY13-23 Full Data'!$AL18:$FA18,'FY13-23 Full Data'!$AL$2:$FA$2,'New Quarterly Report'!AL$1,'FY13-23 Full Data'!$AL$3:$FA$3,'New Quarterly Report'!AL$2)</f>
        <v>11692.349999999999</v>
      </c>
      <c r="AM21" s="215">
        <f>SUMIFS('FY13-23 Full Data'!$AL18:$FA18,'FY13-23 Full Data'!$AL$2:$FA$2,'New Quarterly Report'!AM$1,'FY13-23 Full Data'!$AL$3:$FA$3,'New Quarterly Report'!AM$2)</f>
        <v>3317.41</v>
      </c>
      <c r="AN21" s="215">
        <f>SUMIFS('FY13-23 Full Data'!$AL18:$FA18,'FY13-23 Full Data'!$AL$2:$FA$2,'New Quarterly Report'!AN$1,'FY13-23 Full Data'!$AL$3:$FA$3,'New Quarterly Report'!AN$2)</f>
        <v>1322</v>
      </c>
      <c r="AO21" s="215">
        <f>SUMIFS('FY13-23 Full Data'!$AL18:$FA18,'FY13-23 Full Data'!$AL$2:$FA$2,'New Quarterly Report'!AO$1,'FY13-23 Full Data'!$AL$3:$FA$3,'New Quarterly Report'!AO$2)</f>
        <v>1062</v>
      </c>
      <c r="AP21" s="215">
        <f>SUMIFS('FY13-23 Full Data'!$AL18:$FA18,'FY13-23 Full Data'!$AL$2:$FA$2,'New Quarterly Report'!AP$1,'FY13-23 Full Data'!$AL$3:$FA$3,'New Quarterly Report'!AP$2)</f>
        <v>10538</v>
      </c>
      <c r="AQ21" s="215">
        <f>SUMIFS('FY13-23 Full Data'!$AL18:$FA18,'FY13-23 Full Data'!$AL$2:$FA$2,'New Quarterly Report'!AQ$1,'FY13-23 Full Data'!$AL$3:$FA$3,'New Quarterly Report'!AQ$2)</f>
        <v>45304</v>
      </c>
    </row>
    <row r="22" spans="2:43" x14ac:dyDescent="0.25">
      <c r="B22" s="208" t="s">
        <v>144</v>
      </c>
      <c r="C22" s="208" t="s">
        <v>145</v>
      </c>
      <c r="D22" s="215">
        <f>SUMIFS('FY13-23 Full Data'!$AL19:$FA19,'FY13-23 Full Data'!$AL$2:$FA$2,'New Quarterly Report'!D$1,'FY13-23 Full Data'!$AL$3:$FA$3,'New Quarterly Report'!D$2)</f>
        <v>0</v>
      </c>
      <c r="E22" s="215">
        <f>SUMIFS('FY13-23 Full Data'!$AL19:$FA19,'FY13-23 Full Data'!$AL$2:$FA$2,'New Quarterly Report'!E$1,'FY13-23 Full Data'!$AL$3:$FA$3,'New Quarterly Report'!E$2)</f>
        <v>0</v>
      </c>
      <c r="F22" s="215">
        <f>SUMIFS('FY13-23 Full Data'!$AL19:$FA19,'FY13-23 Full Data'!$AL$2:$FA$2,'New Quarterly Report'!F$1,'FY13-23 Full Data'!$AL$3:$FA$3,'New Quarterly Report'!F$2)</f>
        <v>0</v>
      </c>
      <c r="G22" s="215">
        <f>SUMIFS('FY13-23 Full Data'!$AL19:$FA19,'FY13-23 Full Data'!$AL$2:$FA$2,'New Quarterly Report'!G$1,'FY13-23 Full Data'!$AL$3:$FA$3,'New Quarterly Report'!G$2)</f>
        <v>0</v>
      </c>
      <c r="H22" s="215">
        <f>SUMIFS('FY13-23 Full Data'!$AL19:$FA19,'FY13-23 Full Data'!$AL$2:$FA$2,'New Quarterly Report'!H$1,'FY13-23 Full Data'!$AL$3:$FA$3,'New Quarterly Report'!H$2)</f>
        <v>0</v>
      </c>
      <c r="I22" s="215">
        <f>SUMIFS('FY13-23 Full Data'!$AL19:$FA19,'FY13-23 Full Data'!$AL$2:$FA$2,'New Quarterly Report'!I$1,'FY13-23 Full Data'!$AL$3:$FA$3,'New Quarterly Report'!I$2)</f>
        <v>0</v>
      </c>
      <c r="J22" s="215">
        <f>SUMIFS('FY13-23 Full Data'!$AL19:$FA19,'FY13-23 Full Data'!$AL$2:$FA$2,'New Quarterly Report'!J$1,'FY13-23 Full Data'!$AL$3:$FA$3,'New Quarterly Report'!J$2)</f>
        <v>0</v>
      </c>
      <c r="K22" s="215">
        <f>SUMIFS('FY13-23 Full Data'!$AL19:$FA19,'FY13-23 Full Data'!$AL$2:$FA$2,'New Quarterly Report'!K$1,'FY13-23 Full Data'!$AL$3:$FA$3,'New Quarterly Report'!K$2)</f>
        <v>0</v>
      </c>
      <c r="L22" s="215">
        <f>SUMIFS('FY13-23 Full Data'!$AL19:$FA19,'FY13-23 Full Data'!$AL$2:$FA$2,'New Quarterly Report'!L$1,'FY13-23 Full Data'!$AL$3:$FA$3,'New Quarterly Report'!L$2)</f>
        <v>0</v>
      </c>
      <c r="M22" s="215">
        <f>SUMIFS('FY13-23 Full Data'!$AL19:$FA19,'FY13-23 Full Data'!$AL$2:$FA$2,'New Quarterly Report'!M$1,'FY13-23 Full Data'!$AL$3:$FA$3,'New Quarterly Report'!M$2)</f>
        <v>0</v>
      </c>
      <c r="N22" s="215">
        <f>SUMIFS('FY13-23 Full Data'!$AL19:$FA19,'FY13-23 Full Data'!$AL$2:$FA$2,'New Quarterly Report'!N$1,'FY13-23 Full Data'!$AL$3:$FA$3,'New Quarterly Report'!N$2)</f>
        <v>0</v>
      </c>
      <c r="O22" s="215">
        <f>SUMIFS('FY13-23 Full Data'!$AL19:$FA19,'FY13-23 Full Data'!$AL$2:$FA$2,'New Quarterly Report'!O$1,'FY13-23 Full Data'!$AL$3:$FA$3,'New Quarterly Report'!O$2)</f>
        <v>0</v>
      </c>
      <c r="P22" s="215">
        <f>SUMIFS('FY13-23 Full Data'!$AL19:$FA19,'FY13-23 Full Data'!$AL$2:$FA$2,'New Quarterly Report'!P$1,'FY13-23 Full Data'!$AL$3:$FA$3,'New Quarterly Report'!P$2)</f>
        <v>0</v>
      </c>
      <c r="Q22" s="215">
        <f>SUMIFS('FY13-23 Full Data'!$AL19:$FA19,'FY13-23 Full Data'!$AL$2:$FA$2,'New Quarterly Report'!Q$1,'FY13-23 Full Data'!$AL$3:$FA$3,'New Quarterly Report'!Q$2)</f>
        <v>0</v>
      </c>
      <c r="R22" s="215">
        <f>SUMIFS('FY13-23 Full Data'!$AL19:$FA19,'FY13-23 Full Data'!$AL$2:$FA$2,'New Quarterly Report'!R$1,'FY13-23 Full Data'!$AL$3:$FA$3,'New Quarterly Report'!R$2)</f>
        <v>0</v>
      </c>
      <c r="S22" s="215">
        <f>SUMIFS('FY13-23 Full Data'!$AL19:$FA19,'FY13-23 Full Data'!$AL$2:$FA$2,'New Quarterly Report'!S$1,'FY13-23 Full Data'!$AL$3:$FA$3,'New Quarterly Report'!S$2)</f>
        <v>0</v>
      </c>
      <c r="T22" s="215">
        <f>SUMIFS('FY13-23 Full Data'!$AL19:$FA19,'FY13-23 Full Data'!$AL$2:$FA$2,'New Quarterly Report'!T$1,'FY13-23 Full Data'!$AL$3:$FA$3,'New Quarterly Report'!T$2)</f>
        <v>0</v>
      </c>
      <c r="U22" s="215">
        <f>SUMIFS('FY13-23 Full Data'!$AL19:$FA19,'FY13-23 Full Data'!$AL$2:$FA$2,'New Quarterly Report'!U$1,'FY13-23 Full Data'!$AL$3:$FA$3,'New Quarterly Report'!U$2)</f>
        <v>0</v>
      </c>
      <c r="V22" s="215">
        <f>SUMIFS('FY13-23 Full Data'!$AL19:$FA19,'FY13-23 Full Data'!$AL$2:$FA$2,'New Quarterly Report'!V$1,'FY13-23 Full Data'!$AL$3:$FA$3,'New Quarterly Report'!V$2)</f>
        <v>0</v>
      </c>
      <c r="W22" s="215">
        <f>SUMIFS('FY13-23 Full Data'!$AL19:$FA19,'FY13-23 Full Data'!$AL$2:$FA$2,'New Quarterly Report'!W$1,'FY13-23 Full Data'!$AL$3:$FA$3,'New Quarterly Report'!W$2)</f>
        <v>0</v>
      </c>
      <c r="X22" s="215">
        <f>SUMIFS('FY13-23 Full Data'!$AL19:$FA19,'FY13-23 Full Data'!$AL$2:$FA$2,'New Quarterly Report'!X$1,'FY13-23 Full Data'!$AL$3:$FA$3,'New Quarterly Report'!X$2)</f>
        <v>13750</v>
      </c>
      <c r="Y22" s="215">
        <f>SUMIFS('FY13-23 Full Data'!$AL19:$FA19,'FY13-23 Full Data'!$AL$2:$FA$2,'New Quarterly Report'!Y$1,'FY13-23 Full Data'!$AL$3:$FA$3,'New Quarterly Report'!Y$2)</f>
        <v>0</v>
      </c>
      <c r="Z22" s="215">
        <f>SUMIFS('FY13-23 Full Data'!$AL19:$FA19,'FY13-23 Full Data'!$AL$2:$FA$2,'New Quarterly Report'!Z$1,'FY13-23 Full Data'!$AL$3:$FA$3,'New Quarterly Report'!Z$2)</f>
        <v>0</v>
      </c>
      <c r="AA22" s="215">
        <f>SUMIFS('FY13-23 Full Data'!$AL19:$FA19,'FY13-23 Full Data'!$AL$2:$FA$2,'New Quarterly Report'!AA$1,'FY13-23 Full Data'!$AL$3:$FA$3,'New Quarterly Report'!AA$2)</f>
        <v>0</v>
      </c>
      <c r="AB22" s="215">
        <f>SUMIFS('FY13-23 Full Data'!$AL19:$FA19,'FY13-23 Full Data'!$AL$2:$FA$2,'New Quarterly Report'!AB$1,'FY13-23 Full Data'!$AL$3:$FA$3,'New Quarterly Report'!AB$2)</f>
        <v>16080</v>
      </c>
      <c r="AC22" s="215">
        <f>SUMIFS('FY13-23 Full Data'!$AL19:$FA19,'FY13-23 Full Data'!$AL$2:$FA$2,'New Quarterly Report'!AC$1,'FY13-23 Full Data'!$AL$3:$FA$3,'New Quarterly Report'!AC$2)</f>
        <v>0</v>
      </c>
      <c r="AD22" s="215">
        <f>SUMIFS('FY13-23 Full Data'!$AL19:$FA19,'FY13-23 Full Data'!$AL$2:$FA$2,'New Quarterly Report'!AD$1,'FY13-23 Full Data'!$AL$3:$FA$3,'New Quarterly Report'!AD$2)</f>
        <v>0</v>
      </c>
      <c r="AE22" s="215">
        <f>SUMIFS('FY13-23 Full Data'!$AL19:$FA19,'FY13-23 Full Data'!$AL$2:$FA$2,'New Quarterly Report'!AE$1,'FY13-23 Full Data'!$AL$3:$FA$3,'New Quarterly Report'!AE$2)</f>
        <v>0</v>
      </c>
      <c r="AF22" s="215">
        <f>SUMIFS('FY13-23 Full Data'!$AL19:$FA19,'FY13-23 Full Data'!$AL$2:$FA$2,'New Quarterly Report'!AF$1,'FY13-23 Full Data'!$AL$3:$FA$3,'New Quarterly Report'!AF$2)</f>
        <v>0</v>
      </c>
      <c r="AG22" s="215">
        <f>SUMIFS('FY13-23 Full Data'!$AL19:$FA19,'FY13-23 Full Data'!$AL$2:$FA$2,'New Quarterly Report'!AG$1,'FY13-23 Full Data'!$AL$3:$FA$3,'New Quarterly Report'!AG$2)</f>
        <v>0</v>
      </c>
      <c r="AH22" s="215">
        <f>SUMIFS('FY13-23 Full Data'!$AL19:$FA19,'FY13-23 Full Data'!$AL$2:$FA$2,'New Quarterly Report'!AH$1,'FY13-23 Full Data'!$AL$3:$FA$3,'New Quarterly Report'!AH$2)</f>
        <v>0</v>
      </c>
      <c r="AI22" s="215">
        <f>SUMIFS('FY13-23 Full Data'!$AL19:$FA19,'FY13-23 Full Data'!$AL$2:$FA$2,'New Quarterly Report'!AI$1,'FY13-23 Full Data'!$AL$3:$FA$3,'New Quarterly Report'!AI$2)</f>
        <v>0</v>
      </c>
      <c r="AJ22" s="215">
        <f>SUMIFS('FY13-23 Full Data'!$AL19:$FA19,'FY13-23 Full Data'!$AL$2:$FA$2,'New Quarterly Report'!AJ$1,'FY13-23 Full Data'!$AL$3:$FA$3,'New Quarterly Report'!AJ$2)</f>
        <v>21995.43</v>
      </c>
      <c r="AK22" s="215">
        <f>SUMIFS('FY13-23 Full Data'!$AL19:$FA19,'FY13-23 Full Data'!$AL$2:$FA$2,'New Quarterly Report'!AK$1,'FY13-23 Full Data'!$AL$3:$FA$3,'New Quarterly Report'!AK$2)</f>
        <v>218.08</v>
      </c>
      <c r="AL22" s="215">
        <f>SUMIFS('FY13-23 Full Data'!$AL19:$FA19,'FY13-23 Full Data'!$AL$2:$FA$2,'New Quarterly Report'!AL$1,'FY13-23 Full Data'!$AL$3:$FA$3,'New Quarterly Report'!AL$2)</f>
        <v>0</v>
      </c>
      <c r="AM22" s="215">
        <f>SUMIFS('FY13-23 Full Data'!$AL19:$FA19,'FY13-23 Full Data'!$AL$2:$FA$2,'New Quarterly Report'!AM$1,'FY13-23 Full Data'!$AL$3:$FA$3,'New Quarterly Report'!AM$2)</f>
        <v>0</v>
      </c>
      <c r="AN22" s="215">
        <f>SUMIFS('FY13-23 Full Data'!$AL19:$FA19,'FY13-23 Full Data'!$AL$2:$FA$2,'New Quarterly Report'!AN$1,'FY13-23 Full Data'!$AL$3:$FA$3,'New Quarterly Report'!AN$2)</f>
        <v>0</v>
      </c>
      <c r="AO22" s="215">
        <f>SUMIFS('FY13-23 Full Data'!$AL19:$FA19,'FY13-23 Full Data'!$AL$2:$FA$2,'New Quarterly Report'!AO$1,'FY13-23 Full Data'!$AL$3:$FA$3,'New Quarterly Report'!AO$2)</f>
        <v>0</v>
      </c>
      <c r="AP22" s="215">
        <f>SUMIFS('FY13-23 Full Data'!$AL19:$FA19,'FY13-23 Full Data'!$AL$2:$FA$2,'New Quarterly Report'!AP$1,'FY13-23 Full Data'!$AL$3:$FA$3,'New Quarterly Report'!AP$2)</f>
        <v>0</v>
      </c>
      <c r="AQ22" s="215">
        <f>SUMIFS('FY13-23 Full Data'!$AL19:$FA19,'FY13-23 Full Data'!$AL$2:$FA$2,'New Quarterly Report'!AQ$1,'FY13-23 Full Data'!$AL$3:$FA$3,'New Quarterly Report'!AQ$2)</f>
        <v>22000</v>
      </c>
    </row>
    <row r="23" spans="2:43" x14ac:dyDescent="0.25">
      <c r="B23" s="208" t="s">
        <v>146</v>
      </c>
      <c r="C23" s="208" t="s">
        <v>147</v>
      </c>
      <c r="D23" s="215">
        <f>SUMIFS('FY13-23 Full Data'!$AL20:$FA20,'FY13-23 Full Data'!$AL$2:$FA$2,'New Quarterly Report'!D$1,'FY13-23 Full Data'!$AL$3:$FA$3,'New Quarterly Report'!D$2)</f>
        <v>11142</v>
      </c>
      <c r="E23" s="215">
        <f>SUMIFS('FY13-23 Full Data'!$AL20:$FA20,'FY13-23 Full Data'!$AL$2:$FA$2,'New Quarterly Report'!E$1,'FY13-23 Full Data'!$AL$3:$FA$3,'New Quarterly Report'!E$2)</f>
        <v>13958.982749999999</v>
      </c>
      <c r="F23" s="215">
        <f>SUMIFS('FY13-23 Full Data'!$AL20:$FA20,'FY13-23 Full Data'!$AL$2:$FA$2,'New Quarterly Report'!F$1,'FY13-23 Full Data'!$AL$3:$FA$3,'New Quarterly Report'!F$2)</f>
        <v>22372.338199999998</v>
      </c>
      <c r="G23" s="215">
        <f>SUMIFS('FY13-23 Full Data'!$AL20:$FA20,'FY13-23 Full Data'!$AL$2:$FA$2,'New Quarterly Report'!G$1,'FY13-23 Full Data'!$AL$3:$FA$3,'New Quarterly Report'!G$2)</f>
        <v>24692.335879999999</v>
      </c>
      <c r="H23" s="215">
        <f>SUMIFS('FY13-23 Full Data'!$AL20:$FA20,'FY13-23 Full Data'!$AL$2:$FA$2,'New Quarterly Report'!H$1,'FY13-23 Full Data'!$AL$3:$FA$3,'New Quarterly Report'!H$2)</f>
        <v>6391.692289999999</v>
      </c>
      <c r="I23" s="215">
        <f>SUMIFS('FY13-23 Full Data'!$AL20:$FA20,'FY13-23 Full Data'!$AL$2:$FA$2,'New Quarterly Report'!I$1,'FY13-23 Full Data'!$AL$3:$FA$3,'New Quarterly Report'!I$2)</f>
        <v>6159.2045099999996</v>
      </c>
      <c r="J23" s="215">
        <f>SUMIFS('FY13-23 Full Data'!$AL20:$FA20,'FY13-23 Full Data'!$AL$2:$FA$2,'New Quarterly Report'!J$1,'FY13-23 Full Data'!$AL$3:$FA$3,'New Quarterly Report'!J$2)</f>
        <v>15687.654450000002</v>
      </c>
      <c r="K23" s="215">
        <f>SUMIFS('FY13-23 Full Data'!$AL20:$FA20,'FY13-23 Full Data'!$AL$2:$FA$2,'New Quarterly Report'!K$1,'FY13-23 Full Data'!$AL$3:$FA$3,'New Quarterly Report'!K$2)</f>
        <v>15696.139070000001</v>
      </c>
      <c r="L23" s="215">
        <f>SUMIFS('FY13-23 Full Data'!$AL20:$FA20,'FY13-23 Full Data'!$AL$2:$FA$2,'New Quarterly Report'!L$1,'FY13-23 Full Data'!$AL$3:$FA$3,'New Quarterly Report'!L$2)</f>
        <v>5910.3514999999998</v>
      </c>
      <c r="M23" s="215">
        <f>SUMIFS('FY13-23 Full Data'!$AL20:$FA20,'FY13-23 Full Data'!$AL$2:$FA$2,'New Quarterly Report'!M$1,'FY13-23 Full Data'!$AL$3:$FA$3,'New Quarterly Report'!M$2)</f>
        <v>4871.92274</v>
      </c>
      <c r="N23" s="215">
        <f>SUMIFS('FY13-23 Full Data'!$AL20:$FA20,'FY13-23 Full Data'!$AL$2:$FA$2,'New Quarterly Report'!N$1,'FY13-23 Full Data'!$AL$3:$FA$3,'New Quarterly Report'!N$2)</f>
        <v>9109.2299000000003</v>
      </c>
      <c r="O23" s="215">
        <f>SUMIFS('FY13-23 Full Data'!$AL20:$FA20,'FY13-23 Full Data'!$AL$2:$FA$2,'New Quarterly Report'!O$1,'FY13-23 Full Data'!$AL$3:$FA$3,'New Quarterly Report'!O$2)</f>
        <v>17371.06077</v>
      </c>
      <c r="P23" s="215">
        <f>SUMIFS('FY13-23 Full Data'!$AL20:$FA20,'FY13-23 Full Data'!$AL$2:$FA$2,'New Quarterly Report'!P$1,'FY13-23 Full Data'!$AL$3:$FA$3,'New Quarterly Report'!P$2)</f>
        <v>4172.74964</v>
      </c>
      <c r="Q23" s="215">
        <f>SUMIFS('FY13-23 Full Data'!$AL20:$FA20,'FY13-23 Full Data'!$AL$2:$FA$2,'New Quarterly Report'!Q$1,'FY13-23 Full Data'!$AL$3:$FA$3,'New Quarterly Report'!Q$2)</f>
        <v>3694.3886599999996</v>
      </c>
      <c r="R23" s="215">
        <f>SUMIFS('FY13-23 Full Data'!$AL20:$FA20,'FY13-23 Full Data'!$AL$2:$FA$2,'New Quarterly Report'!R$1,'FY13-23 Full Data'!$AL$3:$FA$3,'New Quarterly Report'!R$2)</f>
        <v>10937.796270000001</v>
      </c>
      <c r="S23" s="215">
        <f>SUMIFS('FY13-23 Full Data'!$AL20:$FA20,'FY13-23 Full Data'!$AL$2:$FA$2,'New Quarterly Report'!S$1,'FY13-23 Full Data'!$AL$3:$FA$3,'New Quarterly Report'!S$2)</f>
        <v>7853.0336000000007</v>
      </c>
      <c r="T23" s="215">
        <f>SUMIFS('FY13-23 Full Data'!$AL20:$FA20,'FY13-23 Full Data'!$AL$2:$FA$2,'New Quarterly Report'!T$1,'FY13-23 Full Data'!$AL$3:$FA$3,'New Quarterly Report'!T$2)</f>
        <v>5862.8928899999992</v>
      </c>
      <c r="U23" s="215">
        <f>SUMIFS('FY13-23 Full Data'!$AL20:$FA20,'FY13-23 Full Data'!$AL$2:$FA$2,'New Quarterly Report'!U$1,'FY13-23 Full Data'!$AL$3:$FA$3,'New Quarterly Report'!U$2)</f>
        <v>3332.0075999999995</v>
      </c>
      <c r="V23" s="215">
        <f>SUMIFS('FY13-23 Full Data'!$AL20:$FA20,'FY13-23 Full Data'!$AL$2:$FA$2,'New Quarterly Report'!V$1,'FY13-23 Full Data'!$AL$3:$FA$3,'New Quarterly Report'!V$2)</f>
        <v>3307.0188600000001</v>
      </c>
      <c r="W23" s="215">
        <f>SUMIFS('FY13-23 Full Data'!$AL20:$FA20,'FY13-23 Full Data'!$AL$2:$FA$2,'New Quarterly Report'!W$1,'FY13-23 Full Data'!$AL$3:$FA$3,'New Quarterly Report'!W$2)</f>
        <v>7214.5823799999998</v>
      </c>
      <c r="X23" s="215">
        <f>SUMIFS('FY13-23 Full Data'!$AL20:$FA20,'FY13-23 Full Data'!$AL$2:$FA$2,'New Quarterly Report'!X$1,'FY13-23 Full Data'!$AL$3:$FA$3,'New Quarterly Report'!X$2)</f>
        <v>2709.4393500000001</v>
      </c>
      <c r="Y23" s="215">
        <f>SUMIFS('FY13-23 Full Data'!$AL20:$FA20,'FY13-23 Full Data'!$AL$2:$FA$2,'New Quarterly Report'!Y$1,'FY13-23 Full Data'!$AL$3:$FA$3,'New Quarterly Report'!Y$2)</f>
        <v>6565.8178099999996</v>
      </c>
      <c r="Z23" s="215">
        <f>SUMIFS('FY13-23 Full Data'!$AL20:$FA20,'FY13-23 Full Data'!$AL$2:$FA$2,'New Quarterly Report'!Z$1,'FY13-23 Full Data'!$AL$3:$FA$3,'New Quarterly Report'!Z$2)</f>
        <v>2854.681</v>
      </c>
      <c r="AA23" s="215">
        <f>SUMIFS('FY13-23 Full Data'!$AL20:$FA20,'FY13-23 Full Data'!$AL$2:$FA$2,'New Quarterly Report'!AA$1,'FY13-23 Full Data'!$AL$3:$FA$3,'New Quarterly Report'!AA$2)</f>
        <v>3961.8341500000001</v>
      </c>
      <c r="AB23" s="215">
        <f>SUMIFS('FY13-23 Full Data'!$AL20:$FA20,'FY13-23 Full Data'!$AL$2:$FA$2,'New Quarterly Report'!AB$1,'FY13-23 Full Data'!$AL$3:$FA$3,'New Quarterly Report'!AB$2)</f>
        <v>985.47451000000001</v>
      </c>
      <c r="AC23" s="215">
        <f>SUMIFS('FY13-23 Full Data'!$AL20:$FA20,'FY13-23 Full Data'!$AL$2:$FA$2,'New Quarterly Report'!AC$1,'FY13-23 Full Data'!$AL$3:$FA$3,'New Quarterly Report'!AC$2)</f>
        <v>2488.1927999999998</v>
      </c>
      <c r="AD23" s="215">
        <f>SUMIFS('FY13-23 Full Data'!$AL20:$FA20,'FY13-23 Full Data'!$AL$2:$FA$2,'New Quarterly Report'!AD$1,'FY13-23 Full Data'!$AL$3:$FA$3,'New Quarterly Report'!AD$2)</f>
        <v>13680.01096</v>
      </c>
      <c r="AE23" s="215">
        <f>SUMIFS('FY13-23 Full Data'!$AL20:$FA20,'FY13-23 Full Data'!$AL$2:$FA$2,'New Quarterly Report'!AE$1,'FY13-23 Full Data'!$AL$3:$FA$3,'New Quarterly Report'!AE$2)</f>
        <v>3470.3309100000001</v>
      </c>
      <c r="AF23" s="215">
        <f>SUMIFS('FY13-23 Full Data'!$AL20:$FA20,'FY13-23 Full Data'!$AL$2:$FA$2,'New Quarterly Report'!AF$1,'FY13-23 Full Data'!$AL$3:$FA$3,'New Quarterly Report'!AF$2)</f>
        <v>3104.5859800000003</v>
      </c>
      <c r="AG23" s="215">
        <f>SUMIFS('FY13-23 Full Data'!$AL20:$FA20,'FY13-23 Full Data'!$AL$2:$FA$2,'New Quarterly Report'!AG$1,'FY13-23 Full Data'!$AL$3:$FA$3,'New Quarterly Report'!AG$2)</f>
        <v>8693.86312</v>
      </c>
      <c r="AH23" s="215">
        <f>SUMIFS('FY13-23 Full Data'!$AL20:$FA20,'FY13-23 Full Data'!$AL$2:$FA$2,'New Quarterly Report'!AH$1,'FY13-23 Full Data'!$AL$3:$FA$3,'New Quarterly Report'!AH$2)</f>
        <v>17378.517529999997</v>
      </c>
      <c r="AI23" s="215">
        <f>SUMIFS('FY13-23 Full Data'!$AL20:$FA20,'FY13-23 Full Data'!$AL$2:$FA$2,'New Quarterly Report'!AI$1,'FY13-23 Full Data'!$AL$3:$FA$3,'New Quarterly Report'!AI$2)</f>
        <v>8877.7149499999996</v>
      </c>
      <c r="AJ23" s="215">
        <f>SUMIFS('FY13-23 Full Data'!$AL20:$FA20,'FY13-23 Full Data'!$AL$2:$FA$2,'New Quarterly Report'!AJ$1,'FY13-23 Full Data'!$AL$3:$FA$3,'New Quarterly Report'!AJ$2)</f>
        <v>23952.620000000003</v>
      </c>
      <c r="AK23" s="215">
        <f>SUMIFS('FY13-23 Full Data'!$AL20:$FA20,'FY13-23 Full Data'!$AL$2:$FA$2,'New Quarterly Report'!AK$1,'FY13-23 Full Data'!$AL$3:$FA$3,'New Quarterly Report'!AK$2)</f>
        <v>18655.960000000003</v>
      </c>
      <c r="AL23" s="215">
        <f>SUMIFS('FY13-23 Full Data'!$AL20:$FA20,'FY13-23 Full Data'!$AL$2:$FA$2,'New Quarterly Report'!AL$1,'FY13-23 Full Data'!$AL$3:$FA$3,'New Quarterly Report'!AL$2)</f>
        <v>31543.13</v>
      </c>
      <c r="AM23" s="215">
        <f>SUMIFS('FY13-23 Full Data'!$AL20:$FA20,'FY13-23 Full Data'!$AL$2:$FA$2,'New Quarterly Report'!AM$1,'FY13-23 Full Data'!$AL$3:$FA$3,'New Quarterly Report'!AM$2)</f>
        <v>5983.88</v>
      </c>
      <c r="AN23" s="215">
        <f>SUMIFS('FY13-23 Full Data'!$AL20:$FA20,'FY13-23 Full Data'!$AL$2:$FA$2,'New Quarterly Report'!AN$1,'FY13-23 Full Data'!$AL$3:$FA$3,'New Quarterly Report'!AN$2)</f>
        <v>2200</v>
      </c>
      <c r="AO23" s="215">
        <f>SUMIFS('FY13-23 Full Data'!$AL20:$FA20,'FY13-23 Full Data'!$AL$2:$FA$2,'New Quarterly Report'!AO$1,'FY13-23 Full Data'!$AL$3:$FA$3,'New Quarterly Report'!AO$2)</f>
        <v>4737</v>
      </c>
      <c r="AP23" s="215">
        <f>SUMIFS('FY13-23 Full Data'!$AL20:$FA20,'FY13-23 Full Data'!$AL$2:$FA$2,'New Quarterly Report'!AP$1,'FY13-23 Full Data'!$AL$3:$FA$3,'New Quarterly Report'!AP$2)</f>
        <v>18045</v>
      </c>
      <c r="AQ23" s="215">
        <f>SUMIFS('FY13-23 Full Data'!$AL20:$FA20,'FY13-23 Full Data'!$AL$2:$FA$2,'New Quarterly Report'!AQ$1,'FY13-23 Full Data'!$AL$3:$FA$3,'New Quarterly Report'!AQ$2)</f>
        <v>5741</v>
      </c>
    </row>
    <row r="24" spans="2:43" x14ac:dyDescent="0.25">
      <c r="B24" s="208" t="s">
        <v>148</v>
      </c>
      <c r="C24" s="208" t="s">
        <v>149</v>
      </c>
      <c r="D24" s="215">
        <f>SUMIFS('FY13-23 Full Data'!$AL21:$FA21,'FY13-23 Full Data'!$AL$2:$FA$2,'New Quarterly Report'!D$1,'FY13-23 Full Data'!$AL$3:$FA$3,'New Quarterly Report'!D$2)</f>
        <v>70172</v>
      </c>
      <c r="E24" s="215">
        <f>SUMIFS('FY13-23 Full Data'!$AL21:$FA21,'FY13-23 Full Data'!$AL$2:$FA$2,'New Quarterly Report'!E$1,'FY13-23 Full Data'!$AL$3:$FA$3,'New Quarterly Report'!E$2)</f>
        <v>551034.63119999995</v>
      </c>
      <c r="F24" s="215">
        <f>SUMIFS('FY13-23 Full Data'!$AL21:$FA21,'FY13-23 Full Data'!$AL$2:$FA$2,'New Quarterly Report'!F$1,'FY13-23 Full Data'!$AL$3:$FA$3,'New Quarterly Report'!F$2)</f>
        <v>431776.47479999997</v>
      </c>
      <c r="G24" s="215">
        <f>SUMIFS('FY13-23 Full Data'!$AL21:$FA21,'FY13-23 Full Data'!$AL$2:$FA$2,'New Quarterly Report'!G$1,'FY13-23 Full Data'!$AL$3:$FA$3,'New Quarterly Report'!G$2)</f>
        <v>213047.73120000001</v>
      </c>
      <c r="H24" s="215">
        <f>SUMIFS('FY13-23 Full Data'!$AL21:$FA21,'FY13-23 Full Data'!$AL$2:$FA$2,'New Quarterly Report'!H$1,'FY13-23 Full Data'!$AL$3:$FA$3,'New Quarterly Report'!H$2)</f>
        <v>76232</v>
      </c>
      <c r="I24" s="215">
        <f>SUMIFS('FY13-23 Full Data'!$AL21:$FA21,'FY13-23 Full Data'!$AL$2:$FA$2,'New Quarterly Report'!I$1,'FY13-23 Full Data'!$AL$3:$FA$3,'New Quarterly Report'!I$2)</f>
        <v>440009.3</v>
      </c>
      <c r="J24" s="215">
        <f>SUMIFS('FY13-23 Full Data'!$AL21:$FA21,'FY13-23 Full Data'!$AL$2:$FA$2,'New Quarterly Report'!J$1,'FY13-23 Full Data'!$AL$3:$FA$3,'New Quarterly Report'!J$2)</f>
        <v>359317.47959999996</v>
      </c>
      <c r="K24" s="215">
        <f>SUMIFS('FY13-23 Full Data'!$AL21:$FA21,'FY13-23 Full Data'!$AL$2:$FA$2,'New Quarterly Report'!K$1,'FY13-23 Full Data'!$AL$3:$FA$3,'New Quarterly Report'!K$2)</f>
        <v>221676</v>
      </c>
      <c r="L24" s="215">
        <f>SUMIFS('FY13-23 Full Data'!$AL21:$FA21,'FY13-23 Full Data'!$AL$2:$FA$2,'New Quarterly Report'!L$1,'FY13-23 Full Data'!$AL$3:$FA$3,'New Quarterly Report'!L$2)</f>
        <v>58726</v>
      </c>
      <c r="M24" s="215">
        <f>SUMIFS('FY13-23 Full Data'!$AL21:$FA21,'FY13-23 Full Data'!$AL$2:$FA$2,'New Quarterly Report'!M$1,'FY13-23 Full Data'!$AL$3:$FA$3,'New Quarterly Report'!M$2)</f>
        <v>445447</v>
      </c>
      <c r="N24" s="215">
        <f>SUMIFS('FY13-23 Full Data'!$AL21:$FA21,'FY13-23 Full Data'!$AL$2:$FA$2,'New Quarterly Report'!N$1,'FY13-23 Full Data'!$AL$3:$FA$3,'New Quarterly Report'!N$2)</f>
        <v>393659.5</v>
      </c>
      <c r="O24" s="215">
        <f>SUMIFS('FY13-23 Full Data'!$AL21:$FA21,'FY13-23 Full Data'!$AL$2:$FA$2,'New Quarterly Report'!O$1,'FY13-23 Full Data'!$AL$3:$FA$3,'New Quarterly Report'!O$2)</f>
        <v>329159.95604999998</v>
      </c>
      <c r="P24" s="215">
        <f>SUMIFS('FY13-23 Full Data'!$AL21:$FA21,'FY13-23 Full Data'!$AL$2:$FA$2,'New Quarterly Report'!P$1,'FY13-23 Full Data'!$AL$3:$FA$3,'New Quarterly Report'!P$2)</f>
        <v>163065.63620000001</v>
      </c>
      <c r="Q24" s="215">
        <f>SUMIFS('FY13-23 Full Data'!$AL21:$FA21,'FY13-23 Full Data'!$AL$2:$FA$2,'New Quarterly Report'!Q$1,'FY13-23 Full Data'!$AL$3:$FA$3,'New Quarterly Report'!Q$2)</f>
        <v>455099.5</v>
      </c>
      <c r="R24" s="215">
        <f>SUMIFS('FY13-23 Full Data'!$AL21:$FA21,'FY13-23 Full Data'!$AL$2:$FA$2,'New Quarterly Report'!R$1,'FY13-23 Full Data'!$AL$3:$FA$3,'New Quarterly Report'!R$2)</f>
        <v>309191.85600000003</v>
      </c>
      <c r="S24" s="215">
        <f>SUMIFS('FY13-23 Full Data'!$AL21:$FA21,'FY13-23 Full Data'!$AL$2:$FA$2,'New Quarterly Report'!S$1,'FY13-23 Full Data'!$AL$3:$FA$3,'New Quarterly Report'!S$2)</f>
        <v>185726.5</v>
      </c>
      <c r="T24" s="215">
        <f>SUMIFS('FY13-23 Full Data'!$AL21:$FA21,'FY13-23 Full Data'!$AL$2:$FA$2,'New Quarterly Report'!T$1,'FY13-23 Full Data'!$AL$3:$FA$3,'New Quarterly Report'!T$2)</f>
        <v>41945.599999999999</v>
      </c>
      <c r="U24" s="215">
        <f>SUMIFS('FY13-23 Full Data'!$AL21:$FA21,'FY13-23 Full Data'!$AL$2:$FA$2,'New Quarterly Report'!U$1,'FY13-23 Full Data'!$AL$3:$FA$3,'New Quarterly Report'!U$2)</f>
        <v>452487.48499999999</v>
      </c>
      <c r="V24" s="215">
        <f>SUMIFS('FY13-23 Full Data'!$AL21:$FA21,'FY13-23 Full Data'!$AL$2:$FA$2,'New Quarterly Report'!V$1,'FY13-23 Full Data'!$AL$3:$FA$3,'New Quarterly Report'!V$2)</f>
        <v>382328.2</v>
      </c>
      <c r="W24" s="215">
        <f>SUMIFS('FY13-23 Full Data'!$AL21:$FA21,'FY13-23 Full Data'!$AL$2:$FA$2,'New Quarterly Report'!W$1,'FY13-23 Full Data'!$AL$3:$FA$3,'New Quarterly Report'!W$2)</f>
        <v>135683.6</v>
      </c>
      <c r="X24" s="215">
        <f>SUMIFS('FY13-23 Full Data'!$AL21:$FA21,'FY13-23 Full Data'!$AL$2:$FA$2,'New Quarterly Report'!X$1,'FY13-23 Full Data'!$AL$3:$FA$3,'New Quarterly Report'!X$2)</f>
        <v>80309.655400000003</v>
      </c>
      <c r="Y24" s="215">
        <f>SUMIFS('FY13-23 Full Data'!$AL21:$FA21,'FY13-23 Full Data'!$AL$2:$FA$2,'New Quarterly Report'!Y$1,'FY13-23 Full Data'!$AL$3:$FA$3,'New Quarterly Report'!Y$2)</f>
        <v>411792.4</v>
      </c>
      <c r="Z24" s="215">
        <f>SUMIFS('FY13-23 Full Data'!$AL21:$FA21,'FY13-23 Full Data'!$AL$2:$FA$2,'New Quarterly Report'!Z$1,'FY13-23 Full Data'!$AL$3:$FA$3,'New Quarterly Report'!Z$2)</f>
        <v>360945</v>
      </c>
      <c r="AA24" s="215">
        <f>SUMIFS('FY13-23 Full Data'!$AL21:$FA21,'FY13-23 Full Data'!$AL$2:$FA$2,'New Quarterly Report'!AA$1,'FY13-23 Full Data'!$AL$3:$FA$3,'New Quarterly Report'!AA$2)</f>
        <v>158001</v>
      </c>
      <c r="AB24" s="215">
        <f>SUMIFS('FY13-23 Full Data'!$AL21:$FA21,'FY13-23 Full Data'!$AL$2:$FA$2,'New Quarterly Report'!AB$1,'FY13-23 Full Data'!$AL$3:$FA$3,'New Quarterly Report'!AB$2)</f>
        <v>47183.913399999998</v>
      </c>
      <c r="AC24" s="215">
        <f>SUMIFS('FY13-23 Full Data'!$AL21:$FA21,'FY13-23 Full Data'!$AL$2:$FA$2,'New Quarterly Report'!AC$1,'FY13-23 Full Data'!$AL$3:$FA$3,'New Quarterly Report'!AC$2)</f>
        <v>407604</v>
      </c>
      <c r="AD24" s="215">
        <f>SUMIFS('FY13-23 Full Data'!$AL21:$FA21,'FY13-23 Full Data'!$AL$2:$FA$2,'New Quarterly Report'!AD$1,'FY13-23 Full Data'!$AL$3:$FA$3,'New Quarterly Report'!AD$2)</f>
        <v>438095.66240000003</v>
      </c>
      <c r="AE24" s="215">
        <f>SUMIFS('FY13-23 Full Data'!$AL21:$FA21,'FY13-23 Full Data'!$AL$2:$FA$2,'New Quarterly Report'!AE$1,'FY13-23 Full Data'!$AL$3:$FA$3,'New Quarterly Report'!AE$2)</f>
        <v>106965</v>
      </c>
      <c r="AF24" s="215">
        <f>SUMIFS('FY13-23 Full Data'!$AL21:$FA21,'FY13-23 Full Data'!$AL$2:$FA$2,'New Quarterly Report'!AF$1,'FY13-23 Full Data'!$AL$3:$FA$3,'New Quarterly Report'!AF$2)</f>
        <v>33866</v>
      </c>
      <c r="AG24" s="215">
        <f>SUMIFS('FY13-23 Full Data'!$AL21:$FA21,'FY13-23 Full Data'!$AL$2:$FA$2,'New Quarterly Report'!AG$1,'FY13-23 Full Data'!$AL$3:$FA$3,'New Quarterly Report'!AG$2)</f>
        <v>390368.1</v>
      </c>
      <c r="AH24" s="215">
        <f>SUMIFS('FY13-23 Full Data'!$AL21:$FA21,'FY13-23 Full Data'!$AL$2:$FA$2,'New Quarterly Report'!AH$1,'FY13-23 Full Data'!$AL$3:$FA$3,'New Quarterly Report'!AH$2)</f>
        <v>371535.2</v>
      </c>
      <c r="AI24" s="215">
        <f>SUMIFS('FY13-23 Full Data'!$AL21:$FA21,'FY13-23 Full Data'!$AL$2:$FA$2,'New Quarterly Report'!AI$1,'FY13-23 Full Data'!$AL$3:$FA$3,'New Quarterly Report'!AI$2)</f>
        <v>183514.2</v>
      </c>
      <c r="AJ24" s="215">
        <f>SUMIFS('FY13-23 Full Data'!$AL21:$FA21,'FY13-23 Full Data'!$AL$2:$FA$2,'New Quarterly Report'!AJ$1,'FY13-23 Full Data'!$AL$3:$FA$3,'New Quarterly Report'!AJ$2)</f>
        <v>55088.61</v>
      </c>
      <c r="AK24" s="215">
        <f>SUMIFS('FY13-23 Full Data'!$AL21:$FA21,'FY13-23 Full Data'!$AL$2:$FA$2,'New Quarterly Report'!AK$1,'FY13-23 Full Data'!$AL$3:$FA$3,'New Quarterly Report'!AK$2)</f>
        <v>379788.5</v>
      </c>
      <c r="AL24" s="215">
        <f>SUMIFS('FY13-23 Full Data'!$AL21:$FA21,'FY13-23 Full Data'!$AL$2:$FA$2,'New Quarterly Report'!AL$1,'FY13-23 Full Data'!$AL$3:$FA$3,'New Quarterly Report'!AL$2)</f>
        <v>422811.8</v>
      </c>
      <c r="AM24" s="215">
        <f>SUMIFS('FY13-23 Full Data'!$AL21:$FA21,'FY13-23 Full Data'!$AL$2:$FA$2,'New Quarterly Report'!AM$1,'FY13-23 Full Data'!$AL$3:$FA$3,'New Quarterly Report'!AM$2)</f>
        <v>152131.70000000001</v>
      </c>
      <c r="AN24" s="215">
        <f>SUMIFS('FY13-23 Full Data'!$AL21:$FA21,'FY13-23 Full Data'!$AL$2:$FA$2,'New Quarterly Report'!AN$1,'FY13-23 Full Data'!$AL$3:$FA$3,'New Quarterly Report'!AN$2)</f>
        <v>34508</v>
      </c>
      <c r="AO24" s="215">
        <f>SUMIFS('FY13-23 Full Data'!$AL21:$FA21,'FY13-23 Full Data'!$AL$2:$FA$2,'New Quarterly Report'!AO$1,'FY13-23 Full Data'!$AL$3:$FA$3,'New Quarterly Report'!AO$2)</f>
        <v>352509</v>
      </c>
      <c r="AP24" s="215">
        <f>SUMIFS('FY13-23 Full Data'!$AL21:$FA21,'FY13-23 Full Data'!$AL$2:$FA$2,'New Quarterly Report'!AP$1,'FY13-23 Full Data'!$AL$3:$FA$3,'New Quarterly Report'!AP$2)</f>
        <v>311211</v>
      </c>
      <c r="AQ24" s="215">
        <f>SUMIFS('FY13-23 Full Data'!$AL21:$FA21,'FY13-23 Full Data'!$AL$2:$FA$2,'New Quarterly Report'!AQ$1,'FY13-23 Full Data'!$AL$3:$FA$3,'New Quarterly Report'!AQ$2)</f>
        <v>119441</v>
      </c>
    </row>
    <row r="25" spans="2:43" x14ac:dyDescent="0.25">
      <c r="B25" s="208" t="s">
        <v>150</v>
      </c>
      <c r="C25" s="208" t="s">
        <v>151</v>
      </c>
      <c r="D25" s="215">
        <f>SUMIFS('FY13-23 Full Data'!$AL22:$FA22,'FY13-23 Full Data'!$AL$2:$FA$2,'New Quarterly Report'!D$1,'FY13-23 Full Data'!$AL$3:$FA$3,'New Quarterly Report'!D$2)</f>
        <v>37197.199999999997</v>
      </c>
      <c r="E25" s="215">
        <f>SUMIFS('FY13-23 Full Data'!$AL22:$FA22,'FY13-23 Full Data'!$AL$2:$FA$2,'New Quarterly Report'!E$1,'FY13-23 Full Data'!$AL$3:$FA$3,'New Quarterly Report'!E$2)</f>
        <v>31138.6034</v>
      </c>
      <c r="F25" s="215">
        <f>SUMIFS('FY13-23 Full Data'!$AL22:$FA22,'FY13-23 Full Data'!$AL$2:$FA$2,'New Quarterly Report'!F$1,'FY13-23 Full Data'!$AL$3:$FA$3,'New Quarterly Report'!F$2)</f>
        <v>108594.7674</v>
      </c>
      <c r="G25" s="215">
        <f>SUMIFS('FY13-23 Full Data'!$AL22:$FA22,'FY13-23 Full Data'!$AL$2:$FA$2,'New Quarterly Report'!G$1,'FY13-23 Full Data'!$AL$3:$FA$3,'New Quarterly Report'!G$2)</f>
        <v>74630.919970000003</v>
      </c>
      <c r="H25" s="215">
        <f>SUMIFS('FY13-23 Full Data'!$AL22:$FA22,'FY13-23 Full Data'!$AL$2:$FA$2,'New Quarterly Report'!H$1,'FY13-23 Full Data'!$AL$3:$FA$3,'New Quarterly Report'!H$2)</f>
        <v>73966.830999999991</v>
      </c>
      <c r="I25" s="215">
        <f>SUMIFS('FY13-23 Full Data'!$AL22:$FA22,'FY13-23 Full Data'!$AL$2:$FA$2,'New Quarterly Report'!I$1,'FY13-23 Full Data'!$AL$3:$FA$3,'New Quarterly Report'!I$2)</f>
        <v>40558.92252</v>
      </c>
      <c r="J25" s="215">
        <f>SUMIFS('FY13-23 Full Data'!$AL22:$FA22,'FY13-23 Full Data'!$AL$2:$FA$2,'New Quarterly Report'!J$1,'FY13-23 Full Data'!$AL$3:$FA$3,'New Quarterly Report'!J$2)</f>
        <v>61611.546869999991</v>
      </c>
      <c r="K25" s="215">
        <f>SUMIFS('FY13-23 Full Data'!$AL22:$FA22,'FY13-23 Full Data'!$AL$2:$FA$2,'New Quarterly Report'!K$1,'FY13-23 Full Data'!$AL$3:$FA$3,'New Quarterly Report'!K$2)</f>
        <v>54311.215209999995</v>
      </c>
      <c r="L25" s="215">
        <f>SUMIFS('FY13-23 Full Data'!$AL22:$FA22,'FY13-23 Full Data'!$AL$2:$FA$2,'New Quarterly Report'!L$1,'FY13-23 Full Data'!$AL$3:$FA$3,'New Quarterly Report'!L$2)</f>
        <v>65665.937550000002</v>
      </c>
      <c r="M25" s="215">
        <f>SUMIFS('FY13-23 Full Data'!$AL22:$FA22,'FY13-23 Full Data'!$AL$2:$FA$2,'New Quarterly Report'!M$1,'FY13-23 Full Data'!$AL$3:$FA$3,'New Quarterly Report'!M$2)</f>
        <v>4504.2342499999995</v>
      </c>
      <c r="N25" s="215">
        <f>SUMIFS('FY13-23 Full Data'!$AL22:$FA22,'FY13-23 Full Data'!$AL$2:$FA$2,'New Quarterly Report'!N$1,'FY13-23 Full Data'!$AL$3:$FA$3,'New Quarterly Report'!N$2)</f>
        <v>131445.41899999999</v>
      </c>
      <c r="O25" s="215">
        <f>SUMIFS('FY13-23 Full Data'!$AL22:$FA22,'FY13-23 Full Data'!$AL$2:$FA$2,'New Quarterly Report'!O$1,'FY13-23 Full Data'!$AL$3:$FA$3,'New Quarterly Report'!O$2)</f>
        <v>151312.05339999998</v>
      </c>
      <c r="P25" s="215">
        <f>SUMIFS('FY13-23 Full Data'!$AL22:$FA22,'FY13-23 Full Data'!$AL$2:$FA$2,'New Quarterly Report'!P$1,'FY13-23 Full Data'!$AL$3:$FA$3,'New Quarterly Report'!P$2)</f>
        <v>46122.877619999999</v>
      </c>
      <c r="Q25" s="215">
        <f>SUMIFS('FY13-23 Full Data'!$AL22:$FA22,'FY13-23 Full Data'!$AL$2:$FA$2,'New Quarterly Report'!Q$1,'FY13-23 Full Data'!$AL$3:$FA$3,'New Quarterly Report'!Q$2)</f>
        <v>65596.119119999988</v>
      </c>
      <c r="R25" s="215">
        <f>SUMIFS('FY13-23 Full Data'!$AL22:$FA22,'FY13-23 Full Data'!$AL$2:$FA$2,'New Quarterly Report'!R$1,'FY13-23 Full Data'!$AL$3:$FA$3,'New Quarterly Report'!R$2)</f>
        <v>135337.14491</v>
      </c>
      <c r="S25" s="215">
        <f>SUMIFS('FY13-23 Full Data'!$AL22:$FA22,'FY13-23 Full Data'!$AL$2:$FA$2,'New Quarterly Report'!S$1,'FY13-23 Full Data'!$AL$3:$FA$3,'New Quarterly Report'!S$2)</f>
        <v>70274.298209999994</v>
      </c>
      <c r="T25" s="215">
        <f>SUMIFS('FY13-23 Full Data'!$AL22:$FA22,'FY13-23 Full Data'!$AL$2:$FA$2,'New Quarterly Report'!T$1,'FY13-23 Full Data'!$AL$3:$FA$3,'New Quarterly Report'!T$2)</f>
        <v>61362.418259999999</v>
      </c>
      <c r="U25" s="215">
        <f>SUMIFS('FY13-23 Full Data'!$AL22:$FA22,'FY13-23 Full Data'!$AL$2:$FA$2,'New Quarterly Report'!U$1,'FY13-23 Full Data'!$AL$3:$FA$3,'New Quarterly Report'!U$2)</f>
        <v>64035.083030000016</v>
      </c>
      <c r="V25" s="215">
        <f>SUMIFS('FY13-23 Full Data'!$AL22:$FA22,'FY13-23 Full Data'!$AL$2:$FA$2,'New Quarterly Report'!V$1,'FY13-23 Full Data'!$AL$3:$FA$3,'New Quarterly Report'!V$2)</f>
        <v>115647.71728999997</v>
      </c>
      <c r="W25" s="215">
        <f>SUMIFS('FY13-23 Full Data'!$AL22:$FA22,'FY13-23 Full Data'!$AL$2:$FA$2,'New Quarterly Report'!W$1,'FY13-23 Full Data'!$AL$3:$FA$3,'New Quarterly Report'!W$2)</f>
        <v>102741.10337</v>
      </c>
      <c r="X25" s="215">
        <f>SUMIFS('FY13-23 Full Data'!$AL22:$FA22,'FY13-23 Full Data'!$AL$2:$FA$2,'New Quarterly Report'!X$1,'FY13-23 Full Data'!$AL$3:$FA$3,'New Quarterly Report'!X$2)</f>
        <v>48632.775949999996</v>
      </c>
      <c r="Y25" s="215">
        <f>SUMIFS('FY13-23 Full Data'!$AL22:$FA22,'FY13-23 Full Data'!$AL$2:$FA$2,'New Quarterly Report'!Y$1,'FY13-23 Full Data'!$AL$3:$FA$3,'New Quarterly Report'!Y$2)</f>
        <v>32158.86032</v>
      </c>
      <c r="Z25" s="215">
        <f>SUMIFS('FY13-23 Full Data'!$AL22:$FA22,'FY13-23 Full Data'!$AL$2:$FA$2,'New Quarterly Report'!Z$1,'FY13-23 Full Data'!$AL$3:$FA$3,'New Quarterly Report'!Z$2)</f>
        <v>130846.64374999996</v>
      </c>
      <c r="AA25" s="215">
        <f>SUMIFS('FY13-23 Full Data'!$AL22:$FA22,'FY13-23 Full Data'!$AL$2:$FA$2,'New Quarterly Report'!AA$1,'FY13-23 Full Data'!$AL$3:$FA$3,'New Quarterly Report'!AA$2)</f>
        <v>84475.381330000018</v>
      </c>
      <c r="AB25" s="215">
        <f>SUMIFS('FY13-23 Full Data'!$AL22:$FA22,'FY13-23 Full Data'!$AL$2:$FA$2,'New Quarterly Report'!AB$1,'FY13-23 Full Data'!$AL$3:$FA$3,'New Quarterly Report'!AB$2)</f>
        <v>16109.154809999998</v>
      </c>
      <c r="AC25" s="215">
        <f>SUMIFS('FY13-23 Full Data'!$AL22:$FA22,'FY13-23 Full Data'!$AL$2:$FA$2,'New Quarterly Report'!AC$1,'FY13-23 Full Data'!$AL$3:$FA$3,'New Quarterly Report'!AC$2)</f>
        <v>17379.98746</v>
      </c>
      <c r="AD25" s="215">
        <f>SUMIFS('FY13-23 Full Data'!$AL22:$FA22,'FY13-23 Full Data'!$AL$2:$FA$2,'New Quarterly Report'!AD$1,'FY13-23 Full Data'!$AL$3:$FA$3,'New Quarterly Report'!AD$2)</f>
        <v>106549.55163999999</v>
      </c>
      <c r="AE25" s="215">
        <f>SUMIFS('FY13-23 Full Data'!$AL22:$FA22,'FY13-23 Full Data'!$AL$2:$FA$2,'New Quarterly Report'!AE$1,'FY13-23 Full Data'!$AL$3:$FA$3,'New Quarterly Report'!AE$2)</f>
        <v>84123.356010000003</v>
      </c>
      <c r="AF25" s="215">
        <f>SUMIFS('FY13-23 Full Data'!$AL22:$FA22,'FY13-23 Full Data'!$AL$2:$FA$2,'New Quarterly Report'!AF$1,'FY13-23 Full Data'!$AL$3:$FA$3,'New Quarterly Report'!AF$2)</f>
        <v>26434.535510000002</v>
      </c>
      <c r="AG25" s="215">
        <f>SUMIFS('FY13-23 Full Data'!$AL22:$FA22,'FY13-23 Full Data'!$AL$2:$FA$2,'New Quarterly Report'!AG$1,'FY13-23 Full Data'!$AL$3:$FA$3,'New Quarterly Report'!AG$2)</f>
        <v>15913.410309999999</v>
      </c>
      <c r="AH25" s="215">
        <f>SUMIFS('FY13-23 Full Data'!$AL22:$FA22,'FY13-23 Full Data'!$AL$2:$FA$2,'New Quarterly Report'!AH$1,'FY13-23 Full Data'!$AL$3:$FA$3,'New Quarterly Report'!AH$2)</f>
        <v>73128.661569999997</v>
      </c>
      <c r="AI25" s="215">
        <f>SUMIFS('FY13-23 Full Data'!$AL22:$FA22,'FY13-23 Full Data'!$AL$2:$FA$2,'New Quarterly Report'!AI$1,'FY13-23 Full Data'!$AL$3:$FA$3,'New Quarterly Report'!AI$2)</f>
        <v>65010.357700000008</v>
      </c>
      <c r="AJ25" s="215">
        <f>SUMIFS('FY13-23 Full Data'!$AL22:$FA22,'FY13-23 Full Data'!$AL$2:$FA$2,'New Quarterly Report'!AJ$1,'FY13-23 Full Data'!$AL$3:$FA$3,'New Quarterly Report'!AJ$2)</f>
        <v>34876.04</v>
      </c>
      <c r="AK25" s="215">
        <f>SUMIFS('FY13-23 Full Data'!$AL22:$FA22,'FY13-23 Full Data'!$AL$2:$FA$2,'New Quarterly Report'!AK$1,'FY13-23 Full Data'!$AL$3:$FA$3,'New Quarterly Report'!AK$2)</f>
        <v>8123.4400000000005</v>
      </c>
      <c r="AL25" s="215">
        <f>SUMIFS('FY13-23 Full Data'!$AL22:$FA22,'FY13-23 Full Data'!$AL$2:$FA$2,'New Quarterly Report'!AL$1,'FY13-23 Full Data'!$AL$3:$FA$3,'New Quarterly Report'!AL$2)</f>
        <v>81867.47</v>
      </c>
      <c r="AM25" s="215">
        <f>SUMIFS('FY13-23 Full Data'!$AL22:$FA22,'FY13-23 Full Data'!$AL$2:$FA$2,'New Quarterly Report'!AM$1,'FY13-23 Full Data'!$AL$3:$FA$3,'New Quarterly Report'!AM$2)</f>
        <v>41895.46</v>
      </c>
      <c r="AN25" s="215">
        <f>SUMIFS('FY13-23 Full Data'!$AL22:$FA22,'FY13-23 Full Data'!$AL$2:$FA$2,'New Quarterly Report'!AN$1,'FY13-23 Full Data'!$AL$3:$FA$3,'New Quarterly Report'!AN$2)</f>
        <v>21970</v>
      </c>
      <c r="AO25" s="215">
        <f>SUMIFS('FY13-23 Full Data'!$AL22:$FA22,'FY13-23 Full Data'!$AL$2:$FA$2,'New Quarterly Report'!AO$1,'FY13-23 Full Data'!$AL$3:$FA$3,'New Quarterly Report'!AO$2)</f>
        <v>2151</v>
      </c>
      <c r="AP25" s="215">
        <f>SUMIFS('FY13-23 Full Data'!$AL22:$FA22,'FY13-23 Full Data'!$AL$2:$FA$2,'New Quarterly Report'!AP$1,'FY13-23 Full Data'!$AL$3:$FA$3,'New Quarterly Report'!AP$2)</f>
        <v>45720</v>
      </c>
      <c r="AQ25" s="215">
        <f>SUMIFS('FY13-23 Full Data'!$AL22:$FA22,'FY13-23 Full Data'!$AL$2:$FA$2,'New Quarterly Report'!AQ$1,'FY13-23 Full Data'!$AL$3:$FA$3,'New Quarterly Report'!AQ$2)</f>
        <v>45728</v>
      </c>
    </row>
    <row r="26" spans="2:43" x14ac:dyDescent="0.25">
      <c r="B26" s="208" t="s">
        <v>152</v>
      </c>
      <c r="C26" s="208" t="s">
        <v>153</v>
      </c>
      <c r="D26" s="215">
        <f>SUMIFS('FY13-23 Full Data'!$AL23:$FA23,'FY13-23 Full Data'!$AL$2:$FA$2,'New Quarterly Report'!D$1,'FY13-23 Full Data'!$AL$3:$FA$3,'New Quarterly Report'!D$2)</f>
        <v>72544.399999999994</v>
      </c>
      <c r="E26" s="215">
        <f>SUMIFS('FY13-23 Full Data'!$AL23:$FA23,'FY13-23 Full Data'!$AL$2:$FA$2,'New Quarterly Report'!E$1,'FY13-23 Full Data'!$AL$3:$FA$3,'New Quarterly Report'!E$2)</f>
        <v>65820.134340000004</v>
      </c>
      <c r="F26" s="215">
        <f>SUMIFS('FY13-23 Full Data'!$AL23:$FA23,'FY13-23 Full Data'!$AL$2:$FA$2,'New Quarterly Report'!F$1,'FY13-23 Full Data'!$AL$3:$FA$3,'New Quarterly Report'!F$2)</f>
        <v>124358.94615</v>
      </c>
      <c r="G26" s="215">
        <f>SUMIFS('FY13-23 Full Data'!$AL23:$FA23,'FY13-23 Full Data'!$AL$2:$FA$2,'New Quarterly Report'!G$1,'FY13-23 Full Data'!$AL$3:$FA$3,'New Quarterly Report'!G$2)</f>
        <v>196652.56852999999</v>
      </c>
      <c r="H26" s="215">
        <f>SUMIFS('FY13-23 Full Data'!$AL23:$FA23,'FY13-23 Full Data'!$AL$2:$FA$2,'New Quarterly Report'!H$1,'FY13-23 Full Data'!$AL$3:$FA$3,'New Quarterly Report'!H$2)</f>
        <v>135665.10584</v>
      </c>
      <c r="I26" s="215">
        <f>SUMIFS('FY13-23 Full Data'!$AL23:$FA23,'FY13-23 Full Data'!$AL$2:$FA$2,'New Quarterly Report'!I$1,'FY13-23 Full Data'!$AL$3:$FA$3,'New Quarterly Report'!I$2)</f>
        <v>40544.794439999998</v>
      </c>
      <c r="J26" s="215">
        <f>SUMIFS('FY13-23 Full Data'!$AL23:$FA23,'FY13-23 Full Data'!$AL$2:$FA$2,'New Quarterly Report'!J$1,'FY13-23 Full Data'!$AL$3:$FA$3,'New Quarterly Report'!J$2)</f>
        <v>148577.97899999999</v>
      </c>
      <c r="K26" s="215">
        <f>SUMIFS('FY13-23 Full Data'!$AL23:$FA23,'FY13-23 Full Data'!$AL$2:$FA$2,'New Quarterly Report'!K$1,'FY13-23 Full Data'!$AL$3:$FA$3,'New Quarterly Report'!K$2)</f>
        <v>118659.34149999999</v>
      </c>
      <c r="L26" s="215">
        <f>SUMIFS('FY13-23 Full Data'!$AL23:$FA23,'FY13-23 Full Data'!$AL$2:$FA$2,'New Quarterly Report'!L$1,'FY13-23 Full Data'!$AL$3:$FA$3,'New Quarterly Report'!L$2)</f>
        <v>68822.091369999995</v>
      </c>
      <c r="M26" s="215">
        <f>SUMIFS('FY13-23 Full Data'!$AL23:$FA23,'FY13-23 Full Data'!$AL$2:$FA$2,'New Quarterly Report'!M$1,'FY13-23 Full Data'!$AL$3:$FA$3,'New Quarterly Report'!M$2)</f>
        <v>35776.402139999998</v>
      </c>
      <c r="N26" s="215">
        <f>SUMIFS('FY13-23 Full Data'!$AL23:$FA23,'FY13-23 Full Data'!$AL$2:$FA$2,'New Quarterly Report'!N$1,'FY13-23 Full Data'!$AL$3:$FA$3,'New Quarterly Report'!N$2)</f>
        <v>68142.7552</v>
      </c>
      <c r="O26" s="215">
        <f>SUMIFS('FY13-23 Full Data'!$AL23:$FA23,'FY13-23 Full Data'!$AL$2:$FA$2,'New Quarterly Report'!O$1,'FY13-23 Full Data'!$AL$3:$FA$3,'New Quarterly Report'!O$2)</f>
        <v>185654.88851000002</v>
      </c>
      <c r="P26" s="215">
        <f>SUMIFS('FY13-23 Full Data'!$AL23:$FA23,'FY13-23 Full Data'!$AL$2:$FA$2,'New Quarterly Report'!P$1,'FY13-23 Full Data'!$AL$3:$FA$3,'New Quarterly Report'!P$2)</f>
        <v>76759.41210999999</v>
      </c>
      <c r="Q26" s="215">
        <f>SUMIFS('FY13-23 Full Data'!$AL23:$FA23,'FY13-23 Full Data'!$AL$2:$FA$2,'New Quarterly Report'!Q$1,'FY13-23 Full Data'!$AL$3:$FA$3,'New Quarterly Report'!Q$2)</f>
        <v>69592.194900000002</v>
      </c>
      <c r="R26" s="215">
        <f>SUMIFS('FY13-23 Full Data'!$AL23:$FA23,'FY13-23 Full Data'!$AL$2:$FA$2,'New Quarterly Report'!R$1,'FY13-23 Full Data'!$AL$3:$FA$3,'New Quarterly Report'!R$2)</f>
        <v>210124.83328999998</v>
      </c>
      <c r="S26" s="215">
        <f>SUMIFS('FY13-23 Full Data'!$AL23:$FA23,'FY13-23 Full Data'!$AL$2:$FA$2,'New Quarterly Report'!S$1,'FY13-23 Full Data'!$AL$3:$FA$3,'New Quarterly Report'!S$2)</f>
        <v>378096.73323000001</v>
      </c>
      <c r="T26" s="215">
        <f>SUMIFS('FY13-23 Full Data'!$AL23:$FA23,'FY13-23 Full Data'!$AL$2:$FA$2,'New Quarterly Report'!T$1,'FY13-23 Full Data'!$AL$3:$FA$3,'New Quarterly Report'!T$2)</f>
        <v>164969.85619000002</v>
      </c>
      <c r="U26" s="215">
        <f>SUMIFS('FY13-23 Full Data'!$AL23:$FA23,'FY13-23 Full Data'!$AL$2:$FA$2,'New Quarterly Report'!U$1,'FY13-23 Full Data'!$AL$3:$FA$3,'New Quarterly Report'!U$2)</f>
        <v>198130.71532000005</v>
      </c>
      <c r="V26" s="215">
        <f>SUMIFS('FY13-23 Full Data'!$AL23:$FA23,'FY13-23 Full Data'!$AL$2:$FA$2,'New Quarterly Report'!V$1,'FY13-23 Full Data'!$AL$3:$FA$3,'New Quarterly Report'!V$2)</f>
        <v>331865.34377000004</v>
      </c>
      <c r="W26" s="215">
        <f>SUMIFS('FY13-23 Full Data'!$AL23:$FA23,'FY13-23 Full Data'!$AL$2:$FA$2,'New Quarterly Report'!W$1,'FY13-23 Full Data'!$AL$3:$FA$3,'New Quarterly Report'!W$2)</f>
        <v>357891.38361000002</v>
      </c>
      <c r="X26" s="215">
        <f>SUMIFS('FY13-23 Full Data'!$AL23:$FA23,'FY13-23 Full Data'!$AL$2:$FA$2,'New Quarterly Report'!X$1,'FY13-23 Full Data'!$AL$3:$FA$3,'New Quarterly Report'!X$2)</f>
        <v>193169.26827</v>
      </c>
      <c r="Y26" s="215">
        <f>SUMIFS('FY13-23 Full Data'!$AL23:$FA23,'FY13-23 Full Data'!$AL$2:$FA$2,'New Quarterly Report'!Y$1,'FY13-23 Full Data'!$AL$3:$FA$3,'New Quarterly Report'!Y$2)</f>
        <v>184327.15798000002</v>
      </c>
      <c r="Z26" s="215">
        <f>SUMIFS('FY13-23 Full Data'!$AL23:$FA23,'FY13-23 Full Data'!$AL$2:$FA$2,'New Quarterly Report'!Z$1,'FY13-23 Full Data'!$AL$3:$FA$3,'New Quarterly Report'!Z$2)</f>
        <v>273417.06008000002</v>
      </c>
      <c r="AA26" s="215">
        <f>SUMIFS('FY13-23 Full Data'!$AL23:$FA23,'FY13-23 Full Data'!$AL$2:$FA$2,'New Quarterly Report'!AA$1,'FY13-23 Full Data'!$AL$3:$FA$3,'New Quarterly Report'!AA$2)</f>
        <v>272717.06112999999</v>
      </c>
      <c r="AB26" s="215">
        <f>SUMIFS('FY13-23 Full Data'!$AL23:$FA23,'FY13-23 Full Data'!$AL$2:$FA$2,'New Quarterly Report'!AB$1,'FY13-23 Full Data'!$AL$3:$FA$3,'New Quarterly Report'!AB$2)</f>
        <v>133544.87071000002</v>
      </c>
      <c r="AC26" s="215">
        <f>SUMIFS('FY13-23 Full Data'!$AL23:$FA23,'FY13-23 Full Data'!$AL$2:$FA$2,'New Quarterly Report'!AC$1,'FY13-23 Full Data'!$AL$3:$FA$3,'New Quarterly Report'!AC$2)</f>
        <v>117139.63310000001</v>
      </c>
      <c r="AD26" s="215">
        <f>SUMIFS('FY13-23 Full Data'!$AL23:$FA23,'FY13-23 Full Data'!$AL$2:$FA$2,'New Quarterly Report'!AD$1,'FY13-23 Full Data'!$AL$3:$FA$3,'New Quarterly Report'!AD$2)</f>
        <v>225222.15261000005</v>
      </c>
      <c r="AE26" s="215">
        <f>SUMIFS('FY13-23 Full Data'!$AL23:$FA23,'FY13-23 Full Data'!$AL$2:$FA$2,'New Quarterly Report'!AE$1,'FY13-23 Full Data'!$AL$3:$FA$3,'New Quarterly Report'!AE$2)</f>
        <v>218956.07603000005</v>
      </c>
      <c r="AF26" s="215">
        <f>SUMIFS('FY13-23 Full Data'!$AL23:$FA23,'FY13-23 Full Data'!$AL$2:$FA$2,'New Quarterly Report'!AF$1,'FY13-23 Full Data'!$AL$3:$FA$3,'New Quarterly Report'!AF$2)</f>
        <v>144092.93885999999</v>
      </c>
      <c r="AG26" s="215">
        <f>SUMIFS('FY13-23 Full Data'!$AL23:$FA23,'FY13-23 Full Data'!$AL$2:$FA$2,'New Quarterly Report'!AG$1,'FY13-23 Full Data'!$AL$3:$FA$3,'New Quarterly Report'!AG$2)</f>
        <v>76084.521560000008</v>
      </c>
      <c r="AH26" s="215">
        <f>SUMIFS('FY13-23 Full Data'!$AL23:$FA23,'FY13-23 Full Data'!$AL$2:$FA$2,'New Quarterly Report'!AH$1,'FY13-23 Full Data'!$AL$3:$FA$3,'New Quarterly Report'!AH$2)</f>
        <v>162838.52379000004</v>
      </c>
      <c r="AI26" s="215">
        <f>SUMIFS('FY13-23 Full Data'!$AL23:$FA23,'FY13-23 Full Data'!$AL$2:$FA$2,'New Quarterly Report'!AI$1,'FY13-23 Full Data'!$AL$3:$FA$3,'New Quarterly Report'!AI$2)</f>
        <v>230609.17306000006</v>
      </c>
      <c r="AJ26" s="215">
        <f>SUMIFS('FY13-23 Full Data'!$AL23:$FA23,'FY13-23 Full Data'!$AL$2:$FA$2,'New Quarterly Report'!AJ$1,'FY13-23 Full Data'!$AL$3:$FA$3,'New Quarterly Report'!AJ$2)</f>
        <v>144912.71</v>
      </c>
      <c r="AK26" s="215">
        <f>SUMIFS('FY13-23 Full Data'!$AL23:$FA23,'FY13-23 Full Data'!$AL$2:$FA$2,'New Quarterly Report'!AK$1,'FY13-23 Full Data'!$AL$3:$FA$3,'New Quarterly Report'!AK$2)</f>
        <v>48513.279999999999</v>
      </c>
      <c r="AL26" s="215">
        <f>SUMIFS('FY13-23 Full Data'!$AL23:$FA23,'FY13-23 Full Data'!$AL$2:$FA$2,'New Quarterly Report'!AL$1,'FY13-23 Full Data'!$AL$3:$FA$3,'New Quarterly Report'!AL$2)</f>
        <v>133355.25</v>
      </c>
      <c r="AM26" s="215">
        <f>SUMIFS('FY13-23 Full Data'!$AL23:$FA23,'FY13-23 Full Data'!$AL$2:$FA$2,'New Quarterly Report'!AM$1,'FY13-23 Full Data'!$AL$3:$FA$3,'New Quarterly Report'!AM$2)</f>
        <v>108860.76999999999</v>
      </c>
      <c r="AN26" s="215">
        <f>SUMIFS('FY13-23 Full Data'!$AL23:$FA23,'FY13-23 Full Data'!$AL$2:$FA$2,'New Quarterly Report'!AN$1,'FY13-23 Full Data'!$AL$3:$FA$3,'New Quarterly Report'!AN$2)</f>
        <v>73948</v>
      </c>
      <c r="AO26" s="215">
        <f>SUMIFS('FY13-23 Full Data'!$AL23:$FA23,'FY13-23 Full Data'!$AL$2:$FA$2,'New Quarterly Report'!AO$1,'FY13-23 Full Data'!$AL$3:$FA$3,'New Quarterly Report'!AO$2)</f>
        <v>30834</v>
      </c>
      <c r="AP26" s="215">
        <f>SUMIFS('FY13-23 Full Data'!$AL23:$FA23,'FY13-23 Full Data'!$AL$2:$FA$2,'New Quarterly Report'!AP$1,'FY13-23 Full Data'!$AL$3:$FA$3,'New Quarterly Report'!AP$2)</f>
        <v>68580</v>
      </c>
      <c r="AQ26" s="215">
        <f>SUMIFS('FY13-23 Full Data'!$AL23:$FA23,'FY13-23 Full Data'!$AL$2:$FA$2,'New Quarterly Report'!AQ$1,'FY13-23 Full Data'!$AL$3:$FA$3,'New Quarterly Report'!AQ$2)</f>
        <v>94146</v>
      </c>
    </row>
    <row r="27" spans="2:43" x14ac:dyDescent="0.25">
      <c r="B27" s="208" t="s">
        <v>154</v>
      </c>
      <c r="C27" s="208" t="s">
        <v>155</v>
      </c>
      <c r="D27" s="215">
        <f>SUMIFS('FY13-23 Full Data'!$AL24:$FA24,'FY13-23 Full Data'!$AL$2:$FA$2,'New Quarterly Report'!D$1,'FY13-23 Full Data'!$AL$3:$FA$3,'New Quarterly Report'!D$2)</f>
        <v>51724</v>
      </c>
      <c r="E27" s="215">
        <f>SUMIFS('FY13-23 Full Data'!$AL24:$FA24,'FY13-23 Full Data'!$AL$2:$FA$2,'New Quarterly Report'!E$1,'FY13-23 Full Data'!$AL$3:$FA$3,'New Quarterly Report'!E$2)</f>
        <v>27506.476700000003</v>
      </c>
      <c r="F27" s="215">
        <f>SUMIFS('FY13-23 Full Data'!$AL24:$FA24,'FY13-23 Full Data'!$AL$2:$FA$2,'New Quarterly Report'!F$1,'FY13-23 Full Data'!$AL$3:$FA$3,'New Quarterly Report'!F$2)</f>
        <v>55310.708099999989</v>
      </c>
      <c r="G27" s="215">
        <f>SUMIFS('FY13-23 Full Data'!$AL24:$FA24,'FY13-23 Full Data'!$AL$2:$FA$2,'New Quarterly Report'!G$1,'FY13-23 Full Data'!$AL$3:$FA$3,'New Quarterly Report'!G$2)</f>
        <v>72602.195299999992</v>
      </c>
      <c r="H27" s="215">
        <f>SUMIFS('FY13-23 Full Data'!$AL24:$FA24,'FY13-23 Full Data'!$AL$2:$FA$2,'New Quarterly Report'!H$1,'FY13-23 Full Data'!$AL$3:$FA$3,'New Quarterly Report'!H$2)</f>
        <v>52244.767340000006</v>
      </c>
      <c r="I27" s="215">
        <f>SUMIFS('FY13-23 Full Data'!$AL24:$FA24,'FY13-23 Full Data'!$AL$2:$FA$2,'New Quarterly Report'!I$1,'FY13-23 Full Data'!$AL$3:$FA$3,'New Quarterly Report'!I$2)</f>
        <v>12582.514529999999</v>
      </c>
      <c r="J27" s="215">
        <f>SUMIFS('FY13-23 Full Data'!$AL24:$FA24,'FY13-23 Full Data'!$AL$2:$FA$2,'New Quarterly Report'!J$1,'FY13-23 Full Data'!$AL$3:$FA$3,'New Quarterly Report'!J$2)</f>
        <v>42150.341570000004</v>
      </c>
      <c r="K27" s="215">
        <f>SUMIFS('FY13-23 Full Data'!$AL24:$FA24,'FY13-23 Full Data'!$AL$2:$FA$2,'New Quarterly Report'!K$1,'FY13-23 Full Data'!$AL$3:$FA$3,'New Quarterly Report'!K$2)</f>
        <v>83984.376380000002</v>
      </c>
      <c r="L27" s="215">
        <f>SUMIFS('FY13-23 Full Data'!$AL24:$FA24,'FY13-23 Full Data'!$AL$2:$FA$2,'New Quarterly Report'!L$1,'FY13-23 Full Data'!$AL$3:$FA$3,'New Quarterly Report'!L$2)</f>
        <v>57078.032100000011</v>
      </c>
      <c r="M27" s="215">
        <f>SUMIFS('FY13-23 Full Data'!$AL24:$FA24,'FY13-23 Full Data'!$AL$2:$FA$2,'New Quarterly Report'!M$1,'FY13-23 Full Data'!$AL$3:$FA$3,'New Quarterly Report'!M$2)</f>
        <v>13790.44592</v>
      </c>
      <c r="N27" s="215">
        <f>SUMIFS('FY13-23 Full Data'!$AL24:$FA24,'FY13-23 Full Data'!$AL$2:$FA$2,'New Quarterly Report'!N$1,'FY13-23 Full Data'!$AL$3:$FA$3,'New Quarterly Report'!N$2)</f>
        <v>39985.136090000007</v>
      </c>
      <c r="O27" s="215">
        <f>SUMIFS('FY13-23 Full Data'!$AL24:$FA24,'FY13-23 Full Data'!$AL$2:$FA$2,'New Quarterly Report'!O$1,'FY13-23 Full Data'!$AL$3:$FA$3,'New Quarterly Report'!O$2)</f>
        <v>102601.08434</v>
      </c>
      <c r="P27" s="215">
        <f>SUMIFS('FY13-23 Full Data'!$AL24:$FA24,'FY13-23 Full Data'!$AL$2:$FA$2,'New Quarterly Report'!P$1,'FY13-23 Full Data'!$AL$3:$FA$3,'New Quarterly Report'!P$2)</f>
        <v>32619.765129999996</v>
      </c>
      <c r="Q27" s="215">
        <f>SUMIFS('FY13-23 Full Data'!$AL24:$FA24,'FY13-23 Full Data'!$AL$2:$FA$2,'New Quarterly Report'!Q$1,'FY13-23 Full Data'!$AL$3:$FA$3,'New Quarterly Report'!Q$2)</f>
        <v>8630.2859700000008</v>
      </c>
      <c r="R27" s="215">
        <f>SUMIFS('FY13-23 Full Data'!$AL24:$FA24,'FY13-23 Full Data'!$AL$2:$FA$2,'New Quarterly Report'!R$1,'FY13-23 Full Data'!$AL$3:$FA$3,'New Quarterly Report'!R$2)</f>
        <v>35947.282919999998</v>
      </c>
      <c r="S27" s="215">
        <f>SUMIFS('FY13-23 Full Data'!$AL24:$FA24,'FY13-23 Full Data'!$AL$2:$FA$2,'New Quarterly Report'!S$1,'FY13-23 Full Data'!$AL$3:$FA$3,'New Quarterly Report'!S$2)</f>
        <v>32284.501520000005</v>
      </c>
      <c r="T27" s="215">
        <f>SUMIFS('FY13-23 Full Data'!$AL24:$FA24,'FY13-23 Full Data'!$AL$2:$FA$2,'New Quarterly Report'!T$1,'FY13-23 Full Data'!$AL$3:$FA$3,'New Quarterly Report'!T$2)</f>
        <v>18135.299010000002</v>
      </c>
      <c r="U27" s="215">
        <f>SUMIFS('FY13-23 Full Data'!$AL24:$FA24,'FY13-23 Full Data'!$AL$2:$FA$2,'New Quarterly Report'!U$1,'FY13-23 Full Data'!$AL$3:$FA$3,'New Quarterly Report'!U$2)</f>
        <v>17767.565320000002</v>
      </c>
      <c r="V27" s="215">
        <f>SUMIFS('FY13-23 Full Data'!$AL24:$FA24,'FY13-23 Full Data'!$AL$2:$FA$2,'New Quarterly Report'!V$1,'FY13-23 Full Data'!$AL$3:$FA$3,'New Quarterly Report'!V$2)</f>
        <v>40797.076639999999</v>
      </c>
      <c r="W27" s="215">
        <f>SUMIFS('FY13-23 Full Data'!$AL24:$FA24,'FY13-23 Full Data'!$AL$2:$FA$2,'New Quarterly Report'!W$1,'FY13-23 Full Data'!$AL$3:$FA$3,'New Quarterly Report'!W$2)</f>
        <v>21744.156459999998</v>
      </c>
      <c r="X27" s="215">
        <f>SUMIFS('FY13-23 Full Data'!$AL24:$FA24,'FY13-23 Full Data'!$AL$2:$FA$2,'New Quarterly Report'!X$1,'FY13-23 Full Data'!$AL$3:$FA$3,'New Quarterly Report'!X$2)</f>
        <v>16322.526270000002</v>
      </c>
      <c r="Y27" s="215">
        <f>SUMIFS('FY13-23 Full Data'!$AL24:$FA24,'FY13-23 Full Data'!$AL$2:$FA$2,'New Quarterly Report'!Y$1,'FY13-23 Full Data'!$AL$3:$FA$3,'New Quarterly Report'!Y$2)</f>
        <v>8640.8631700000005</v>
      </c>
      <c r="Z27" s="215">
        <f>SUMIFS('FY13-23 Full Data'!$AL24:$FA24,'FY13-23 Full Data'!$AL$2:$FA$2,'New Quarterly Report'!Z$1,'FY13-23 Full Data'!$AL$3:$FA$3,'New Quarterly Report'!Z$2)</f>
        <v>35996.052889999992</v>
      </c>
      <c r="AA27" s="215">
        <f>SUMIFS('FY13-23 Full Data'!$AL24:$FA24,'FY13-23 Full Data'!$AL$2:$FA$2,'New Quarterly Report'!AA$1,'FY13-23 Full Data'!$AL$3:$FA$3,'New Quarterly Report'!AA$2)</f>
        <v>30632.997230000001</v>
      </c>
      <c r="AB27" s="215">
        <f>SUMIFS('FY13-23 Full Data'!$AL24:$FA24,'FY13-23 Full Data'!$AL$2:$FA$2,'New Quarterly Report'!AB$1,'FY13-23 Full Data'!$AL$3:$FA$3,'New Quarterly Report'!AB$2)</f>
        <v>23273.520149999993</v>
      </c>
      <c r="AC27" s="215">
        <f>SUMIFS('FY13-23 Full Data'!$AL24:$FA24,'FY13-23 Full Data'!$AL$2:$FA$2,'New Quarterly Report'!AC$1,'FY13-23 Full Data'!$AL$3:$FA$3,'New Quarterly Report'!AC$2)</f>
        <v>8826.0396600000004</v>
      </c>
      <c r="AD27" s="215">
        <f>SUMIFS('FY13-23 Full Data'!$AL24:$FA24,'FY13-23 Full Data'!$AL$2:$FA$2,'New Quarterly Report'!AD$1,'FY13-23 Full Data'!$AL$3:$FA$3,'New Quarterly Report'!AD$2)</f>
        <v>50936.866470000001</v>
      </c>
      <c r="AE27" s="215">
        <f>SUMIFS('FY13-23 Full Data'!$AL24:$FA24,'FY13-23 Full Data'!$AL$2:$FA$2,'New Quarterly Report'!AE$1,'FY13-23 Full Data'!$AL$3:$FA$3,'New Quarterly Report'!AE$2)</f>
        <v>21635.025539999999</v>
      </c>
      <c r="AF27" s="215">
        <f>SUMIFS('FY13-23 Full Data'!$AL24:$FA24,'FY13-23 Full Data'!$AL$2:$FA$2,'New Quarterly Report'!AF$1,'FY13-23 Full Data'!$AL$3:$FA$3,'New Quarterly Report'!AF$2)</f>
        <v>13693.371859999999</v>
      </c>
      <c r="AG27" s="215">
        <f>SUMIFS('FY13-23 Full Data'!$AL24:$FA24,'FY13-23 Full Data'!$AL$2:$FA$2,'New Quarterly Report'!AG$1,'FY13-23 Full Data'!$AL$3:$FA$3,'New Quarterly Report'!AG$2)</f>
        <v>11527.140350000001</v>
      </c>
      <c r="AH27" s="215">
        <f>SUMIFS('FY13-23 Full Data'!$AL24:$FA24,'FY13-23 Full Data'!$AL$2:$FA$2,'New Quarterly Report'!AH$1,'FY13-23 Full Data'!$AL$3:$FA$3,'New Quarterly Report'!AH$2)</f>
        <v>32683.332079999996</v>
      </c>
      <c r="AI27" s="215">
        <f>SUMIFS('FY13-23 Full Data'!$AL24:$FA24,'FY13-23 Full Data'!$AL$2:$FA$2,'New Quarterly Report'!AI$1,'FY13-23 Full Data'!$AL$3:$FA$3,'New Quarterly Report'!AI$2)</f>
        <v>24183.36117</v>
      </c>
      <c r="AJ27" s="215">
        <f>SUMIFS('FY13-23 Full Data'!$AL24:$FA24,'FY13-23 Full Data'!$AL$2:$FA$2,'New Quarterly Report'!AJ$1,'FY13-23 Full Data'!$AL$3:$FA$3,'New Quarterly Report'!AJ$2)</f>
        <v>7249.06</v>
      </c>
      <c r="AK27" s="215">
        <f>SUMIFS('FY13-23 Full Data'!$AL24:$FA24,'FY13-23 Full Data'!$AL$2:$FA$2,'New Quarterly Report'!AK$1,'FY13-23 Full Data'!$AL$3:$FA$3,'New Quarterly Report'!AK$2)</f>
        <v>31843.39</v>
      </c>
      <c r="AL27" s="215">
        <f>SUMIFS('FY13-23 Full Data'!$AL24:$FA24,'FY13-23 Full Data'!$AL$2:$FA$2,'New Quarterly Report'!AL$1,'FY13-23 Full Data'!$AL$3:$FA$3,'New Quarterly Report'!AL$2)</f>
        <v>52537.41</v>
      </c>
      <c r="AM27" s="215">
        <f>SUMIFS('FY13-23 Full Data'!$AL24:$FA24,'FY13-23 Full Data'!$AL$2:$FA$2,'New Quarterly Report'!AM$1,'FY13-23 Full Data'!$AL$3:$FA$3,'New Quarterly Report'!AM$2)</f>
        <v>20367.2</v>
      </c>
      <c r="AN27" s="215">
        <f>SUMIFS('FY13-23 Full Data'!$AL24:$FA24,'FY13-23 Full Data'!$AL$2:$FA$2,'New Quarterly Report'!AN$1,'FY13-23 Full Data'!$AL$3:$FA$3,'New Quarterly Report'!AN$2)</f>
        <v>11426</v>
      </c>
      <c r="AO27" s="215">
        <f>SUMIFS('FY13-23 Full Data'!$AL24:$FA24,'FY13-23 Full Data'!$AL$2:$FA$2,'New Quarterly Report'!AO$1,'FY13-23 Full Data'!$AL$3:$FA$3,'New Quarterly Report'!AO$2)</f>
        <v>5652</v>
      </c>
      <c r="AP27" s="215">
        <f>SUMIFS('FY13-23 Full Data'!$AL24:$FA24,'FY13-23 Full Data'!$AL$2:$FA$2,'New Quarterly Report'!AP$1,'FY13-23 Full Data'!$AL$3:$FA$3,'New Quarterly Report'!AP$2)</f>
        <v>35346</v>
      </c>
      <c r="AQ27" s="215">
        <f>SUMIFS('FY13-23 Full Data'!$AL24:$FA24,'FY13-23 Full Data'!$AL$2:$FA$2,'New Quarterly Report'!AQ$1,'FY13-23 Full Data'!$AL$3:$FA$3,'New Quarterly Report'!AQ$2)</f>
        <v>10147</v>
      </c>
    </row>
    <row r="28" spans="2:43" x14ac:dyDescent="0.25">
      <c r="B28" s="208" t="s">
        <v>156</v>
      </c>
      <c r="C28" s="208" t="s">
        <v>157</v>
      </c>
      <c r="D28" s="215">
        <f>SUMIFS('FY13-23 Full Data'!$AL25:$FA25,'FY13-23 Full Data'!$AL$2:$FA$2,'New Quarterly Report'!D$1,'FY13-23 Full Data'!$AL$3:$FA$3,'New Quarterly Report'!D$2)</f>
        <v>29944.2</v>
      </c>
      <c r="E28" s="215">
        <f>SUMIFS('FY13-23 Full Data'!$AL25:$FA25,'FY13-23 Full Data'!$AL$2:$FA$2,'New Quarterly Report'!E$1,'FY13-23 Full Data'!$AL$3:$FA$3,'New Quarterly Report'!E$2)</f>
        <v>22163.200799999999</v>
      </c>
      <c r="F28" s="215">
        <f>SUMIFS('FY13-23 Full Data'!$AL25:$FA25,'FY13-23 Full Data'!$AL$2:$FA$2,'New Quarterly Report'!F$1,'FY13-23 Full Data'!$AL$3:$FA$3,'New Quarterly Report'!F$2)</f>
        <v>50514.756299999994</v>
      </c>
      <c r="G28" s="215">
        <f>SUMIFS('FY13-23 Full Data'!$AL25:$FA25,'FY13-23 Full Data'!$AL$2:$FA$2,'New Quarterly Report'!G$1,'FY13-23 Full Data'!$AL$3:$FA$3,'New Quarterly Report'!G$2)</f>
        <v>28777.724920000001</v>
      </c>
      <c r="H28" s="215">
        <f>SUMIFS('FY13-23 Full Data'!$AL25:$FA25,'FY13-23 Full Data'!$AL$2:$FA$2,'New Quarterly Report'!H$1,'FY13-23 Full Data'!$AL$3:$FA$3,'New Quarterly Report'!H$2)</f>
        <v>22903.469500000003</v>
      </c>
      <c r="I28" s="215">
        <f>SUMIFS('FY13-23 Full Data'!$AL25:$FA25,'FY13-23 Full Data'!$AL$2:$FA$2,'New Quarterly Report'!I$1,'FY13-23 Full Data'!$AL$3:$FA$3,'New Quarterly Report'!I$2)</f>
        <v>13135.519609999999</v>
      </c>
      <c r="J28" s="215">
        <f>SUMIFS('FY13-23 Full Data'!$AL25:$FA25,'FY13-23 Full Data'!$AL$2:$FA$2,'New Quarterly Report'!J$1,'FY13-23 Full Data'!$AL$3:$FA$3,'New Quarterly Report'!J$2)</f>
        <v>53890.765890000002</v>
      </c>
      <c r="K28" s="215">
        <f>SUMIFS('FY13-23 Full Data'!$AL25:$FA25,'FY13-23 Full Data'!$AL$2:$FA$2,'New Quarterly Report'!K$1,'FY13-23 Full Data'!$AL$3:$FA$3,'New Quarterly Report'!K$2)</f>
        <v>33260.313750000001</v>
      </c>
      <c r="L28" s="215">
        <f>SUMIFS('FY13-23 Full Data'!$AL25:$FA25,'FY13-23 Full Data'!$AL$2:$FA$2,'New Quarterly Report'!L$1,'FY13-23 Full Data'!$AL$3:$FA$3,'New Quarterly Report'!L$2)</f>
        <v>24806.319199999998</v>
      </c>
      <c r="M28" s="215">
        <f>SUMIFS('FY13-23 Full Data'!$AL25:$FA25,'FY13-23 Full Data'!$AL$2:$FA$2,'New Quarterly Report'!M$1,'FY13-23 Full Data'!$AL$3:$FA$3,'New Quarterly Report'!M$2)</f>
        <v>12099.934639999998</v>
      </c>
      <c r="N28" s="215">
        <f>SUMIFS('FY13-23 Full Data'!$AL25:$FA25,'FY13-23 Full Data'!$AL$2:$FA$2,'New Quarterly Report'!N$1,'FY13-23 Full Data'!$AL$3:$FA$3,'New Quarterly Report'!N$2)</f>
        <v>64711.645550000001</v>
      </c>
      <c r="O28" s="215">
        <f>SUMIFS('FY13-23 Full Data'!$AL25:$FA25,'FY13-23 Full Data'!$AL$2:$FA$2,'New Quarterly Report'!O$1,'FY13-23 Full Data'!$AL$3:$FA$3,'New Quarterly Report'!O$2)</f>
        <v>31773.37745</v>
      </c>
      <c r="P28" s="215">
        <f>SUMIFS('FY13-23 Full Data'!$AL25:$FA25,'FY13-23 Full Data'!$AL$2:$FA$2,'New Quarterly Report'!P$1,'FY13-23 Full Data'!$AL$3:$FA$3,'New Quarterly Report'!P$2)</f>
        <v>25875.858610000003</v>
      </c>
      <c r="Q28" s="215">
        <f>SUMIFS('FY13-23 Full Data'!$AL25:$FA25,'FY13-23 Full Data'!$AL$2:$FA$2,'New Quarterly Report'!Q$1,'FY13-23 Full Data'!$AL$3:$FA$3,'New Quarterly Report'!Q$2)</f>
        <v>15426.857979999999</v>
      </c>
      <c r="R28" s="215">
        <f>SUMIFS('FY13-23 Full Data'!$AL25:$FA25,'FY13-23 Full Data'!$AL$2:$FA$2,'New Quarterly Report'!R$1,'FY13-23 Full Data'!$AL$3:$FA$3,'New Quarterly Report'!R$2)</f>
        <v>55550.462780000002</v>
      </c>
      <c r="S28" s="215">
        <f>SUMIFS('FY13-23 Full Data'!$AL25:$FA25,'FY13-23 Full Data'!$AL$2:$FA$2,'New Quarterly Report'!S$1,'FY13-23 Full Data'!$AL$3:$FA$3,'New Quarterly Report'!S$2)</f>
        <v>26708.885119999999</v>
      </c>
      <c r="T28" s="215">
        <f>SUMIFS('FY13-23 Full Data'!$AL25:$FA25,'FY13-23 Full Data'!$AL$2:$FA$2,'New Quarterly Report'!T$1,'FY13-23 Full Data'!$AL$3:$FA$3,'New Quarterly Report'!T$2)</f>
        <v>11085.125499999998</v>
      </c>
      <c r="U28" s="215">
        <f>SUMIFS('FY13-23 Full Data'!$AL25:$FA25,'FY13-23 Full Data'!$AL$2:$FA$2,'New Quarterly Report'!U$1,'FY13-23 Full Data'!$AL$3:$FA$3,'New Quarterly Report'!U$2)</f>
        <v>24137.820800000001</v>
      </c>
      <c r="V28" s="215">
        <f>SUMIFS('FY13-23 Full Data'!$AL25:$FA25,'FY13-23 Full Data'!$AL$2:$FA$2,'New Quarterly Report'!V$1,'FY13-23 Full Data'!$AL$3:$FA$3,'New Quarterly Report'!V$2)</f>
        <v>39259.157230000004</v>
      </c>
      <c r="W28" s="215">
        <f>SUMIFS('FY13-23 Full Data'!$AL25:$FA25,'FY13-23 Full Data'!$AL$2:$FA$2,'New Quarterly Report'!W$1,'FY13-23 Full Data'!$AL$3:$FA$3,'New Quarterly Report'!W$2)</f>
        <v>26108.785309999999</v>
      </c>
      <c r="X28" s="215">
        <f>SUMIFS('FY13-23 Full Data'!$AL25:$FA25,'FY13-23 Full Data'!$AL$2:$FA$2,'New Quarterly Report'!X$1,'FY13-23 Full Data'!$AL$3:$FA$3,'New Quarterly Report'!X$2)</f>
        <v>7349.3877000000002</v>
      </c>
      <c r="Y28" s="215">
        <f>SUMIFS('FY13-23 Full Data'!$AL25:$FA25,'FY13-23 Full Data'!$AL$2:$FA$2,'New Quarterly Report'!Y$1,'FY13-23 Full Data'!$AL$3:$FA$3,'New Quarterly Report'!Y$2)</f>
        <v>17645.905369999997</v>
      </c>
      <c r="Z28" s="215">
        <f>SUMIFS('FY13-23 Full Data'!$AL25:$FA25,'FY13-23 Full Data'!$AL$2:$FA$2,'New Quarterly Report'!Z$1,'FY13-23 Full Data'!$AL$3:$FA$3,'New Quarterly Report'!Z$2)</f>
        <v>38322.115359999996</v>
      </c>
      <c r="AA28" s="215">
        <f>SUMIFS('FY13-23 Full Data'!$AL25:$FA25,'FY13-23 Full Data'!$AL$2:$FA$2,'New Quarterly Report'!AA$1,'FY13-23 Full Data'!$AL$3:$FA$3,'New Quarterly Report'!AA$2)</f>
        <v>21438.252120000001</v>
      </c>
      <c r="AB28" s="215">
        <f>SUMIFS('FY13-23 Full Data'!$AL25:$FA25,'FY13-23 Full Data'!$AL$2:$FA$2,'New Quarterly Report'!AB$1,'FY13-23 Full Data'!$AL$3:$FA$3,'New Quarterly Report'!AB$2)</f>
        <v>9838.47336</v>
      </c>
      <c r="AC28" s="215">
        <f>SUMIFS('FY13-23 Full Data'!$AL25:$FA25,'FY13-23 Full Data'!$AL$2:$FA$2,'New Quarterly Report'!AC$1,'FY13-23 Full Data'!$AL$3:$FA$3,'New Quarterly Report'!AC$2)</f>
        <v>17993.353290000003</v>
      </c>
      <c r="AD28" s="215">
        <f>SUMIFS('FY13-23 Full Data'!$AL25:$FA25,'FY13-23 Full Data'!$AL$2:$FA$2,'New Quarterly Report'!AD$1,'FY13-23 Full Data'!$AL$3:$FA$3,'New Quarterly Report'!AD$2)</f>
        <v>22760.812460000001</v>
      </c>
      <c r="AE28" s="215">
        <f>SUMIFS('FY13-23 Full Data'!$AL25:$FA25,'FY13-23 Full Data'!$AL$2:$FA$2,'New Quarterly Report'!AE$1,'FY13-23 Full Data'!$AL$3:$FA$3,'New Quarterly Report'!AE$2)</f>
        <v>18345.557960000002</v>
      </c>
      <c r="AF28" s="215">
        <f>SUMIFS('FY13-23 Full Data'!$AL25:$FA25,'FY13-23 Full Data'!$AL$2:$FA$2,'New Quarterly Report'!AF$1,'FY13-23 Full Data'!$AL$3:$FA$3,'New Quarterly Report'!AF$2)</f>
        <v>14256.43665</v>
      </c>
      <c r="AG28" s="215">
        <f>SUMIFS('FY13-23 Full Data'!$AL25:$FA25,'FY13-23 Full Data'!$AL$2:$FA$2,'New Quarterly Report'!AG$1,'FY13-23 Full Data'!$AL$3:$FA$3,'New Quarterly Report'!AG$2)</f>
        <v>14009.558169999997</v>
      </c>
      <c r="AH28" s="215">
        <f>SUMIFS('FY13-23 Full Data'!$AL25:$FA25,'FY13-23 Full Data'!$AL$2:$FA$2,'New Quarterly Report'!AH$1,'FY13-23 Full Data'!$AL$3:$FA$3,'New Quarterly Report'!AH$2)</f>
        <v>25237.494349999997</v>
      </c>
      <c r="AI28" s="215">
        <f>SUMIFS('FY13-23 Full Data'!$AL25:$FA25,'FY13-23 Full Data'!$AL$2:$FA$2,'New Quarterly Report'!AI$1,'FY13-23 Full Data'!$AL$3:$FA$3,'New Quarterly Report'!AI$2)</f>
        <v>33395.10701</v>
      </c>
      <c r="AJ28" s="215">
        <f>SUMIFS('FY13-23 Full Data'!$AL25:$FA25,'FY13-23 Full Data'!$AL$2:$FA$2,'New Quarterly Report'!AJ$1,'FY13-23 Full Data'!$AL$3:$FA$3,'New Quarterly Report'!AJ$2)</f>
        <v>13071.130000000001</v>
      </c>
      <c r="AK28" s="215">
        <f>SUMIFS('FY13-23 Full Data'!$AL25:$FA25,'FY13-23 Full Data'!$AL$2:$FA$2,'New Quarterly Report'!AK$1,'FY13-23 Full Data'!$AL$3:$FA$3,'New Quarterly Report'!AK$2)</f>
        <v>12528.939999999999</v>
      </c>
      <c r="AL28" s="215">
        <f>SUMIFS('FY13-23 Full Data'!$AL25:$FA25,'FY13-23 Full Data'!$AL$2:$FA$2,'New Quarterly Report'!AL$1,'FY13-23 Full Data'!$AL$3:$FA$3,'New Quarterly Report'!AL$2)</f>
        <v>40901.039999999994</v>
      </c>
      <c r="AM28" s="215">
        <f>SUMIFS('FY13-23 Full Data'!$AL25:$FA25,'FY13-23 Full Data'!$AL$2:$FA$2,'New Quarterly Report'!AM$1,'FY13-23 Full Data'!$AL$3:$FA$3,'New Quarterly Report'!AM$2)</f>
        <v>13931.059999999998</v>
      </c>
      <c r="AN28" s="215">
        <f>SUMIFS('FY13-23 Full Data'!$AL25:$FA25,'FY13-23 Full Data'!$AL$2:$FA$2,'New Quarterly Report'!AN$1,'FY13-23 Full Data'!$AL$3:$FA$3,'New Quarterly Report'!AN$2)</f>
        <v>16538</v>
      </c>
      <c r="AO28" s="215">
        <f>SUMIFS('FY13-23 Full Data'!$AL25:$FA25,'FY13-23 Full Data'!$AL$2:$FA$2,'New Quarterly Report'!AO$1,'FY13-23 Full Data'!$AL$3:$FA$3,'New Quarterly Report'!AO$2)</f>
        <v>14388</v>
      </c>
      <c r="AP28" s="215">
        <f>SUMIFS('FY13-23 Full Data'!$AL25:$FA25,'FY13-23 Full Data'!$AL$2:$FA$2,'New Quarterly Report'!AP$1,'FY13-23 Full Data'!$AL$3:$FA$3,'New Quarterly Report'!AP$2)</f>
        <v>35163</v>
      </c>
      <c r="AQ28" s="215">
        <f>SUMIFS('FY13-23 Full Data'!$AL25:$FA25,'FY13-23 Full Data'!$AL$2:$FA$2,'New Quarterly Report'!AQ$1,'FY13-23 Full Data'!$AL$3:$FA$3,'New Quarterly Report'!AQ$2)</f>
        <v>14117</v>
      </c>
    </row>
    <row r="29" spans="2:43" x14ac:dyDescent="0.25">
      <c r="B29" s="208" t="s">
        <v>158</v>
      </c>
      <c r="C29" s="208" t="s">
        <v>159</v>
      </c>
      <c r="D29" s="215">
        <f>SUMIFS('FY13-23 Full Data'!$AL26:$FA26,'FY13-23 Full Data'!$AL$2:$FA$2,'New Quarterly Report'!D$1,'FY13-23 Full Data'!$AL$3:$FA$3,'New Quarterly Report'!D$2)</f>
        <v>24118</v>
      </c>
      <c r="E29" s="215">
        <f>SUMIFS('FY13-23 Full Data'!$AL26:$FA26,'FY13-23 Full Data'!$AL$2:$FA$2,'New Quarterly Report'!E$1,'FY13-23 Full Data'!$AL$3:$FA$3,'New Quarterly Report'!E$2)</f>
        <v>266382.40950000001</v>
      </c>
      <c r="F29" s="215">
        <f>SUMIFS('FY13-23 Full Data'!$AL26:$FA26,'FY13-23 Full Data'!$AL$2:$FA$2,'New Quarterly Report'!F$1,'FY13-23 Full Data'!$AL$3:$FA$3,'New Quarterly Report'!F$2)</f>
        <v>293656.81779999996</v>
      </c>
      <c r="G29" s="215">
        <f>SUMIFS('FY13-23 Full Data'!$AL26:$FA26,'FY13-23 Full Data'!$AL$2:$FA$2,'New Quarterly Report'!G$1,'FY13-23 Full Data'!$AL$3:$FA$3,'New Quarterly Report'!G$2)</f>
        <v>64878.618499999997</v>
      </c>
      <c r="H29" s="215">
        <f>SUMIFS('FY13-23 Full Data'!$AL26:$FA26,'FY13-23 Full Data'!$AL$2:$FA$2,'New Quarterly Report'!H$1,'FY13-23 Full Data'!$AL$3:$FA$3,'New Quarterly Report'!H$2)</f>
        <v>16905.939599999998</v>
      </c>
      <c r="I29" s="215">
        <f>SUMIFS('FY13-23 Full Data'!$AL26:$FA26,'FY13-23 Full Data'!$AL$2:$FA$2,'New Quarterly Report'!I$1,'FY13-23 Full Data'!$AL$3:$FA$3,'New Quarterly Report'!I$2)</f>
        <v>141349.3725</v>
      </c>
      <c r="J29" s="215">
        <f>SUMIFS('FY13-23 Full Data'!$AL26:$FA26,'FY13-23 Full Data'!$AL$2:$FA$2,'New Quarterly Report'!J$1,'FY13-23 Full Data'!$AL$3:$FA$3,'New Quarterly Report'!J$2)</f>
        <v>73206.039999999994</v>
      </c>
      <c r="K29" s="215">
        <f>SUMIFS('FY13-23 Full Data'!$AL26:$FA26,'FY13-23 Full Data'!$AL$2:$FA$2,'New Quarterly Report'!K$1,'FY13-23 Full Data'!$AL$3:$FA$3,'New Quarterly Report'!K$2)</f>
        <v>28568.871299999999</v>
      </c>
      <c r="L29" s="215">
        <f>SUMIFS('FY13-23 Full Data'!$AL26:$FA26,'FY13-23 Full Data'!$AL$2:$FA$2,'New Quarterly Report'!L$1,'FY13-23 Full Data'!$AL$3:$FA$3,'New Quarterly Report'!L$2)</f>
        <v>-3458.3586</v>
      </c>
      <c r="M29" s="215">
        <f>SUMIFS('FY13-23 Full Data'!$AL26:$FA26,'FY13-23 Full Data'!$AL$2:$FA$2,'New Quarterly Report'!M$1,'FY13-23 Full Data'!$AL$3:$FA$3,'New Quarterly Report'!M$2)</f>
        <v>156143.1262</v>
      </c>
      <c r="N29" s="215">
        <f>SUMIFS('FY13-23 Full Data'!$AL26:$FA26,'FY13-23 Full Data'!$AL$2:$FA$2,'New Quarterly Report'!N$1,'FY13-23 Full Data'!$AL$3:$FA$3,'New Quarterly Report'!N$2)</f>
        <v>100210.66979999999</v>
      </c>
      <c r="O29" s="215">
        <f>SUMIFS('FY13-23 Full Data'!$AL26:$FA26,'FY13-23 Full Data'!$AL$2:$FA$2,'New Quarterly Report'!O$1,'FY13-23 Full Data'!$AL$3:$FA$3,'New Quarterly Report'!O$2)</f>
        <v>31187.630100000002</v>
      </c>
      <c r="P29" s="215">
        <f>SUMIFS('FY13-23 Full Data'!$AL26:$FA26,'FY13-23 Full Data'!$AL$2:$FA$2,'New Quarterly Report'!P$1,'FY13-23 Full Data'!$AL$3:$FA$3,'New Quarterly Report'!P$2)</f>
        <v>5046</v>
      </c>
      <c r="Q29" s="215">
        <f>SUMIFS('FY13-23 Full Data'!$AL26:$FA26,'FY13-23 Full Data'!$AL$2:$FA$2,'New Quarterly Report'!Q$1,'FY13-23 Full Data'!$AL$3:$FA$3,'New Quarterly Report'!Q$2)</f>
        <v>121260.90849999999</v>
      </c>
      <c r="R29" s="215">
        <f>SUMIFS('FY13-23 Full Data'!$AL26:$FA26,'FY13-23 Full Data'!$AL$2:$FA$2,'New Quarterly Report'!R$1,'FY13-23 Full Data'!$AL$3:$FA$3,'New Quarterly Report'!R$2)</f>
        <v>60200.397200000007</v>
      </c>
      <c r="S29" s="215">
        <f>SUMIFS('FY13-23 Full Data'!$AL26:$FA26,'FY13-23 Full Data'!$AL$2:$FA$2,'New Quarterly Report'!S$1,'FY13-23 Full Data'!$AL$3:$FA$3,'New Quarterly Report'!S$2)</f>
        <v>20660.705399999999</v>
      </c>
      <c r="T29" s="215">
        <f>SUMIFS('FY13-23 Full Data'!$AL26:$FA26,'FY13-23 Full Data'!$AL$2:$FA$2,'New Quarterly Report'!T$1,'FY13-23 Full Data'!$AL$3:$FA$3,'New Quarterly Report'!T$2)</f>
        <v>3740.94</v>
      </c>
      <c r="U29" s="215">
        <f>SUMIFS('FY13-23 Full Data'!$AL26:$FA26,'FY13-23 Full Data'!$AL$2:$FA$2,'New Quarterly Report'!U$1,'FY13-23 Full Data'!$AL$3:$FA$3,'New Quarterly Report'!U$2)</f>
        <v>160264.82819999999</v>
      </c>
      <c r="V29" s="215">
        <f>SUMIFS('FY13-23 Full Data'!$AL26:$FA26,'FY13-23 Full Data'!$AL$2:$FA$2,'New Quarterly Report'!V$1,'FY13-23 Full Data'!$AL$3:$FA$3,'New Quarterly Report'!V$2)</f>
        <v>103273.82999999999</v>
      </c>
      <c r="W29" s="215">
        <f>SUMIFS('FY13-23 Full Data'!$AL26:$FA26,'FY13-23 Full Data'!$AL$2:$FA$2,'New Quarterly Report'!W$1,'FY13-23 Full Data'!$AL$3:$FA$3,'New Quarterly Report'!W$2)</f>
        <v>28352.082000000006</v>
      </c>
      <c r="X29" s="215">
        <f>SUMIFS('FY13-23 Full Data'!$AL26:$FA26,'FY13-23 Full Data'!$AL$2:$FA$2,'New Quarterly Report'!X$1,'FY13-23 Full Data'!$AL$3:$FA$3,'New Quarterly Report'!X$2)</f>
        <v>10510.440999999999</v>
      </c>
      <c r="Y29" s="215">
        <f>SUMIFS('FY13-23 Full Data'!$AL26:$FA26,'FY13-23 Full Data'!$AL$2:$FA$2,'New Quarterly Report'!Y$1,'FY13-23 Full Data'!$AL$3:$FA$3,'New Quarterly Report'!Y$2)</f>
        <v>122042.47320000001</v>
      </c>
      <c r="Z29" s="215">
        <f>SUMIFS('FY13-23 Full Data'!$AL26:$FA26,'FY13-23 Full Data'!$AL$2:$FA$2,'New Quarterly Report'!Z$1,'FY13-23 Full Data'!$AL$3:$FA$3,'New Quarterly Report'!Z$2)</f>
        <v>168988.46679999999</v>
      </c>
      <c r="AA29" s="215">
        <f>SUMIFS('FY13-23 Full Data'!$AL26:$FA26,'FY13-23 Full Data'!$AL$2:$FA$2,'New Quarterly Report'!AA$1,'FY13-23 Full Data'!$AL$3:$FA$3,'New Quarterly Report'!AA$2)</f>
        <v>38819.883000000002</v>
      </c>
      <c r="AB29" s="215">
        <f>SUMIFS('FY13-23 Full Data'!$AL26:$FA26,'FY13-23 Full Data'!$AL$2:$FA$2,'New Quarterly Report'!AB$1,'FY13-23 Full Data'!$AL$3:$FA$3,'New Quarterly Report'!AB$2)</f>
        <v>1535.826</v>
      </c>
      <c r="AC29" s="215">
        <f>SUMIFS('FY13-23 Full Data'!$AL26:$FA26,'FY13-23 Full Data'!$AL$2:$FA$2,'New Quarterly Report'!AC$1,'FY13-23 Full Data'!$AL$3:$FA$3,'New Quarterly Report'!AC$2)</f>
        <v>94429.0429</v>
      </c>
      <c r="AD29" s="215">
        <f>SUMIFS('FY13-23 Full Data'!$AL26:$FA26,'FY13-23 Full Data'!$AL$2:$FA$2,'New Quarterly Report'!AD$1,'FY13-23 Full Data'!$AL$3:$FA$3,'New Quarterly Report'!AD$2)</f>
        <v>156368.88040000002</v>
      </c>
      <c r="AE29" s="215">
        <f>SUMIFS('FY13-23 Full Data'!$AL26:$FA26,'FY13-23 Full Data'!$AL$2:$FA$2,'New Quarterly Report'!AE$1,'FY13-23 Full Data'!$AL$3:$FA$3,'New Quarterly Report'!AE$2)</f>
        <v>57657.239399999999</v>
      </c>
      <c r="AF29" s="215">
        <f>SUMIFS('FY13-23 Full Data'!$AL26:$FA26,'FY13-23 Full Data'!$AL$2:$FA$2,'New Quarterly Report'!AF$1,'FY13-23 Full Data'!$AL$3:$FA$3,'New Quarterly Report'!AF$2)</f>
        <v>34666.822699999997</v>
      </c>
      <c r="AG29" s="215">
        <f>SUMIFS('FY13-23 Full Data'!$AL26:$FA26,'FY13-23 Full Data'!$AL$2:$FA$2,'New Quarterly Report'!AG$1,'FY13-23 Full Data'!$AL$3:$FA$3,'New Quarterly Report'!AG$2)</f>
        <v>125977.4039</v>
      </c>
      <c r="AH29" s="215">
        <f>SUMIFS('FY13-23 Full Data'!$AL26:$FA26,'FY13-23 Full Data'!$AL$2:$FA$2,'New Quarterly Report'!AH$1,'FY13-23 Full Data'!$AL$3:$FA$3,'New Quarterly Report'!AH$2)</f>
        <v>108793.2258</v>
      </c>
      <c r="AI29" s="215">
        <f>SUMIFS('FY13-23 Full Data'!$AL26:$FA26,'FY13-23 Full Data'!$AL$2:$FA$2,'New Quarterly Report'!AI$1,'FY13-23 Full Data'!$AL$3:$FA$3,'New Quarterly Report'!AI$2)</f>
        <v>58124.488700000002</v>
      </c>
      <c r="AJ29" s="215">
        <f>SUMIFS('FY13-23 Full Data'!$AL26:$FA26,'FY13-23 Full Data'!$AL$2:$FA$2,'New Quarterly Report'!AJ$1,'FY13-23 Full Data'!$AL$3:$FA$3,'New Quarterly Report'!AJ$2)</f>
        <v>40366.85</v>
      </c>
      <c r="AK29" s="215">
        <f>SUMIFS('FY13-23 Full Data'!$AL26:$FA26,'FY13-23 Full Data'!$AL$2:$FA$2,'New Quarterly Report'!AK$1,'FY13-23 Full Data'!$AL$3:$FA$3,'New Quarterly Report'!AK$2)</f>
        <v>147520.15</v>
      </c>
      <c r="AL29" s="215">
        <f>SUMIFS('FY13-23 Full Data'!$AL26:$FA26,'FY13-23 Full Data'!$AL$2:$FA$2,'New Quarterly Report'!AL$1,'FY13-23 Full Data'!$AL$3:$FA$3,'New Quarterly Report'!AL$2)</f>
        <v>96977.209999999992</v>
      </c>
      <c r="AM29" s="215">
        <f>SUMIFS('FY13-23 Full Data'!$AL26:$FA26,'FY13-23 Full Data'!$AL$2:$FA$2,'New Quarterly Report'!AM$1,'FY13-23 Full Data'!$AL$3:$FA$3,'New Quarterly Report'!AM$2)</f>
        <v>5377.93</v>
      </c>
      <c r="AN29" s="215">
        <f>SUMIFS('FY13-23 Full Data'!$AL26:$FA26,'FY13-23 Full Data'!$AL$2:$FA$2,'New Quarterly Report'!AN$1,'FY13-23 Full Data'!$AL$3:$FA$3,'New Quarterly Report'!AN$2)</f>
        <v>10659</v>
      </c>
      <c r="AO29" s="215">
        <f>SUMIFS('FY13-23 Full Data'!$AL26:$FA26,'FY13-23 Full Data'!$AL$2:$FA$2,'New Quarterly Report'!AO$1,'FY13-23 Full Data'!$AL$3:$FA$3,'New Quarterly Report'!AO$2)</f>
        <v>26896</v>
      </c>
      <c r="AP29" s="215">
        <f>SUMIFS('FY13-23 Full Data'!$AL26:$FA26,'FY13-23 Full Data'!$AL$2:$FA$2,'New Quarterly Report'!AP$1,'FY13-23 Full Data'!$AL$3:$FA$3,'New Quarterly Report'!AP$2)</f>
        <v>24878</v>
      </c>
      <c r="AQ29" s="215">
        <f>SUMIFS('FY13-23 Full Data'!$AL26:$FA26,'FY13-23 Full Data'!$AL$2:$FA$2,'New Quarterly Report'!AQ$1,'FY13-23 Full Data'!$AL$3:$FA$3,'New Quarterly Report'!AQ$2)</f>
        <v>6333</v>
      </c>
    </row>
    <row r="30" spans="2:43" x14ac:dyDescent="0.25">
      <c r="B30" s="208" t="s">
        <v>160</v>
      </c>
      <c r="C30" s="208" t="s">
        <v>161</v>
      </c>
      <c r="D30" s="215">
        <f>SUMIFS('FY13-23 Full Data'!$AL27:$FA27,'FY13-23 Full Data'!$AL$2:$FA$2,'New Quarterly Report'!D$1,'FY13-23 Full Data'!$AL$3:$FA$3,'New Quarterly Report'!D$2)</f>
        <v>295904.8</v>
      </c>
      <c r="E30" s="215">
        <f>SUMIFS('FY13-23 Full Data'!$AL27:$FA27,'FY13-23 Full Data'!$AL$2:$FA$2,'New Quarterly Report'!E$1,'FY13-23 Full Data'!$AL$3:$FA$3,'New Quarterly Report'!E$2)</f>
        <v>555287.27067</v>
      </c>
      <c r="F30" s="215">
        <f>SUMIFS('FY13-23 Full Data'!$AL27:$FA27,'FY13-23 Full Data'!$AL$2:$FA$2,'New Quarterly Report'!F$1,'FY13-23 Full Data'!$AL$3:$FA$3,'New Quarterly Report'!F$2)</f>
        <v>506319.09259999997</v>
      </c>
      <c r="G30" s="215">
        <f>SUMIFS('FY13-23 Full Data'!$AL27:$FA27,'FY13-23 Full Data'!$AL$2:$FA$2,'New Quarterly Report'!G$1,'FY13-23 Full Data'!$AL$3:$FA$3,'New Quarterly Report'!G$2)</f>
        <v>206836.26431</v>
      </c>
      <c r="H30" s="215">
        <f>SUMIFS('FY13-23 Full Data'!$AL27:$FA27,'FY13-23 Full Data'!$AL$2:$FA$2,'New Quarterly Report'!H$1,'FY13-23 Full Data'!$AL$3:$FA$3,'New Quarterly Report'!H$2)</f>
        <v>93718.066219999993</v>
      </c>
      <c r="I30" s="215">
        <f>SUMIFS('FY13-23 Full Data'!$AL27:$FA27,'FY13-23 Full Data'!$AL$2:$FA$2,'New Quarterly Report'!I$1,'FY13-23 Full Data'!$AL$3:$FA$3,'New Quarterly Report'!I$2)</f>
        <v>366723.47950000002</v>
      </c>
      <c r="J30" s="215">
        <f>SUMIFS('FY13-23 Full Data'!$AL27:$FA27,'FY13-23 Full Data'!$AL$2:$FA$2,'New Quarterly Report'!J$1,'FY13-23 Full Data'!$AL$3:$FA$3,'New Quarterly Report'!J$2)</f>
        <v>405182.90196000005</v>
      </c>
      <c r="K30" s="215">
        <f>SUMIFS('FY13-23 Full Data'!$AL27:$FA27,'FY13-23 Full Data'!$AL$2:$FA$2,'New Quarterly Report'!K$1,'FY13-23 Full Data'!$AL$3:$FA$3,'New Quarterly Report'!K$2)</f>
        <v>366541.08906000003</v>
      </c>
      <c r="L30" s="215">
        <f>SUMIFS('FY13-23 Full Data'!$AL27:$FA27,'FY13-23 Full Data'!$AL$2:$FA$2,'New Quarterly Report'!L$1,'FY13-23 Full Data'!$AL$3:$FA$3,'New Quarterly Report'!L$2)</f>
        <v>58940.97004</v>
      </c>
      <c r="M30" s="215">
        <f>SUMIFS('FY13-23 Full Data'!$AL27:$FA27,'FY13-23 Full Data'!$AL$2:$FA$2,'New Quarterly Report'!M$1,'FY13-23 Full Data'!$AL$3:$FA$3,'New Quarterly Report'!M$2)</f>
        <v>319693.09503999999</v>
      </c>
      <c r="N30" s="215">
        <f>SUMIFS('FY13-23 Full Data'!$AL27:$FA27,'FY13-23 Full Data'!$AL$2:$FA$2,'New Quarterly Report'!N$1,'FY13-23 Full Data'!$AL$3:$FA$3,'New Quarterly Report'!N$2)</f>
        <v>319035.18984999997</v>
      </c>
      <c r="O30" s="215">
        <f>SUMIFS('FY13-23 Full Data'!$AL27:$FA27,'FY13-23 Full Data'!$AL$2:$FA$2,'New Quarterly Report'!O$1,'FY13-23 Full Data'!$AL$3:$FA$3,'New Quarterly Report'!O$2)</f>
        <v>190919.80989999999</v>
      </c>
      <c r="P30" s="215">
        <f>SUMIFS('FY13-23 Full Data'!$AL27:$FA27,'FY13-23 Full Data'!$AL$2:$FA$2,'New Quarterly Report'!P$1,'FY13-23 Full Data'!$AL$3:$FA$3,'New Quarterly Report'!P$2)</f>
        <v>68929.960720000003</v>
      </c>
      <c r="Q30" s="215">
        <f>SUMIFS('FY13-23 Full Data'!$AL27:$FA27,'FY13-23 Full Data'!$AL$2:$FA$2,'New Quarterly Report'!Q$1,'FY13-23 Full Data'!$AL$3:$FA$3,'New Quarterly Report'!Q$2)</f>
        <v>314069.84504000004</v>
      </c>
      <c r="R30" s="215">
        <f>SUMIFS('FY13-23 Full Data'!$AL27:$FA27,'FY13-23 Full Data'!$AL$2:$FA$2,'New Quarterly Report'!R$1,'FY13-23 Full Data'!$AL$3:$FA$3,'New Quarterly Report'!R$2)</f>
        <v>199042.81064000001</v>
      </c>
      <c r="S30" s="215">
        <f>SUMIFS('FY13-23 Full Data'!$AL27:$FA27,'FY13-23 Full Data'!$AL$2:$FA$2,'New Quarterly Report'!S$1,'FY13-23 Full Data'!$AL$3:$FA$3,'New Quarterly Report'!S$2)</f>
        <v>132367.89850000001</v>
      </c>
      <c r="T30" s="215">
        <f>SUMIFS('FY13-23 Full Data'!$AL27:$FA27,'FY13-23 Full Data'!$AL$2:$FA$2,'New Quarterly Report'!T$1,'FY13-23 Full Data'!$AL$3:$FA$3,'New Quarterly Report'!T$2)</f>
        <v>57994.437380000003</v>
      </c>
      <c r="U30" s="215">
        <f>SUMIFS('FY13-23 Full Data'!$AL27:$FA27,'FY13-23 Full Data'!$AL$2:$FA$2,'New Quarterly Report'!U$1,'FY13-23 Full Data'!$AL$3:$FA$3,'New Quarterly Report'!U$2)</f>
        <v>306702.37819000002</v>
      </c>
      <c r="V30" s="215">
        <f>SUMIFS('FY13-23 Full Data'!$AL27:$FA27,'FY13-23 Full Data'!$AL$2:$FA$2,'New Quarterly Report'!V$1,'FY13-23 Full Data'!$AL$3:$FA$3,'New Quarterly Report'!V$2)</f>
        <v>245220.84706</v>
      </c>
      <c r="W30" s="215">
        <f>SUMIFS('FY13-23 Full Data'!$AL27:$FA27,'FY13-23 Full Data'!$AL$2:$FA$2,'New Quarterly Report'!W$1,'FY13-23 Full Data'!$AL$3:$FA$3,'New Quarterly Report'!W$2)</f>
        <v>87832.230979999993</v>
      </c>
      <c r="X30" s="215">
        <f>SUMIFS('FY13-23 Full Data'!$AL27:$FA27,'FY13-23 Full Data'!$AL$2:$FA$2,'New Quarterly Report'!X$1,'FY13-23 Full Data'!$AL$3:$FA$3,'New Quarterly Report'!X$2)</f>
        <v>51605.781159999999</v>
      </c>
      <c r="Y30" s="215">
        <f>SUMIFS('FY13-23 Full Data'!$AL27:$FA27,'FY13-23 Full Data'!$AL$2:$FA$2,'New Quarterly Report'!Y$1,'FY13-23 Full Data'!$AL$3:$FA$3,'New Quarterly Report'!Y$2)</f>
        <v>312917.96610000002</v>
      </c>
      <c r="Z30" s="215">
        <f>SUMIFS('FY13-23 Full Data'!$AL27:$FA27,'FY13-23 Full Data'!$AL$2:$FA$2,'New Quarterly Report'!Z$1,'FY13-23 Full Data'!$AL$3:$FA$3,'New Quarterly Report'!Z$2)</f>
        <v>263369.69822999998</v>
      </c>
      <c r="AA30" s="215">
        <f>SUMIFS('FY13-23 Full Data'!$AL27:$FA27,'FY13-23 Full Data'!$AL$2:$FA$2,'New Quarterly Report'!AA$1,'FY13-23 Full Data'!$AL$3:$FA$3,'New Quarterly Report'!AA$2)</f>
        <v>73673.372000000003</v>
      </c>
      <c r="AB30" s="215">
        <f>SUMIFS('FY13-23 Full Data'!$AL27:$FA27,'FY13-23 Full Data'!$AL$2:$FA$2,'New Quarterly Report'!AB$1,'FY13-23 Full Data'!$AL$3:$FA$3,'New Quarterly Report'!AB$2)</f>
        <v>32132.1247</v>
      </c>
      <c r="AC30" s="215">
        <f>SUMIFS('FY13-23 Full Data'!$AL27:$FA27,'FY13-23 Full Data'!$AL$2:$FA$2,'New Quarterly Report'!AC$1,'FY13-23 Full Data'!$AL$3:$FA$3,'New Quarterly Report'!AC$2)</f>
        <v>266095.51783999999</v>
      </c>
      <c r="AD30" s="215">
        <f>SUMIFS('FY13-23 Full Data'!$AL27:$FA27,'FY13-23 Full Data'!$AL$2:$FA$2,'New Quarterly Report'!AD$1,'FY13-23 Full Data'!$AL$3:$FA$3,'New Quarterly Report'!AD$2)</f>
        <v>267450.20640000002</v>
      </c>
      <c r="AE30" s="215">
        <f>SUMIFS('FY13-23 Full Data'!$AL27:$FA27,'FY13-23 Full Data'!$AL$2:$FA$2,'New Quarterly Report'!AE$1,'FY13-23 Full Data'!$AL$3:$FA$3,'New Quarterly Report'!AE$2)</f>
        <v>138282.1538</v>
      </c>
      <c r="AF30" s="215">
        <f>SUMIFS('FY13-23 Full Data'!$AL27:$FA27,'FY13-23 Full Data'!$AL$2:$FA$2,'New Quarterly Report'!AF$1,'FY13-23 Full Data'!$AL$3:$FA$3,'New Quarterly Report'!AF$2)</f>
        <v>42954.139649999997</v>
      </c>
      <c r="AG30" s="215">
        <f>SUMIFS('FY13-23 Full Data'!$AL27:$FA27,'FY13-23 Full Data'!$AL$2:$FA$2,'New Quarterly Report'!AG$1,'FY13-23 Full Data'!$AL$3:$FA$3,'New Quarterly Report'!AG$2)</f>
        <v>264163.67056</v>
      </c>
      <c r="AH30" s="215">
        <f>SUMIFS('FY13-23 Full Data'!$AL27:$FA27,'FY13-23 Full Data'!$AL$2:$FA$2,'New Quarterly Report'!AH$1,'FY13-23 Full Data'!$AL$3:$FA$3,'New Quarterly Report'!AH$2)</f>
        <v>262331.08773999999</v>
      </c>
      <c r="AI30" s="215">
        <f>SUMIFS('FY13-23 Full Data'!$AL27:$FA27,'FY13-23 Full Data'!$AL$2:$FA$2,'New Quarterly Report'!AI$1,'FY13-23 Full Data'!$AL$3:$FA$3,'New Quarterly Report'!AI$2)</f>
        <v>126438.51746</v>
      </c>
      <c r="AJ30" s="215">
        <f>SUMIFS('FY13-23 Full Data'!$AL27:$FA27,'FY13-23 Full Data'!$AL$2:$FA$2,'New Quarterly Report'!AJ$1,'FY13-23 Full Data'!$AL$3:$FA$3,'New Quarterly Report'!AJ$2)</f>
        <v>96886.459999999992</v>
      </c>
      <c r="AK30" s="215">
        <f>SUMIFS('FY13-23 Full Data'!$AL27:$FA27,'FY13-23 Full Data'!$AL$2:$FA$2,'New Quarterly Report'!AK$1,'FY13-23 Full Data'!$AL$3:$FA$3,'New Quarterly Report'!AK$2)</f>
        <v>389213.2</v>
      </c>
      <c r="AL30" s="215">
        <f>SUMIFS('FY13-23 Full Data'!$AL27:$FA27,'FY13-23 Full Data'!$AL$2:$FA$2,'New Quarterly Report'!AL$1,'FY13-23 Full Data'!$AL$3:$FA$3,'New Quarterly Report'!AL$2)</f>
        <v>298964.68</v>
      </c>
      <c r="AM30" s="215">
        <f>SUMIFS('FY13-23 Full Data'!$AL27:$FA27,'FY13-23 Full Data'!$AL$2:$FA$2,'New Quarterly Report'!AM$1,'FY13-23 Full Data'!$AL$3:$FA$3,'New Quarterly Report'!AM$2)</f>
        <v>255944.31</v>
      </c>
      <c r="AN30" s="215">
        <f>SUMIFS('FY13-23 Full Data'!$AL27:$FA27,'FY13-23 Full Data'!$AL$2:$FA$2,'New Quarterly Report'!AN$1,'FY13-23 Full Data'!$AL$3:$FA$3,'New Quarterly Report'!AN$2)</f>
        <v>119969</v>
      </c>
      <c r="AO30" s="215">
        <f>SUMIFS('FY13-23 Full Data'!$AL27:$FA27,'FY13-23 Full Data'!$AL$2:$FA$2,'New Quarterly Report'!AO$1,'FY13-23 Full Data'!$AL$3:$FA$3,'New Quarterly Report'!AO$2)</f>
        <v>332391</v>
      </c>
      <c r="AP30" s="215">
        <f>SUMIFS('FY13-23 Full Data'!$AL27:$FA27,'FY13-23 Full Data'!$AL$2:$FA$2,'New Quarterly Report'!AP$1,'FY13-23 Full Data'!$AL$3:$FA$3,'New Quarterly Report'!AP$2)</f>
        <v>268949</v>
      </c>
      <c r="AQ30" s="215">
        <f>SUMIFS('FY13-23 Full Data'!$AL27:$FA27,'FY13-23 Full Data'!$AL$2:$FA$2,'New Quarterly Report'!AQ$1,'FY13-23 Full Data'!$AL$3:$FA$3,'New Quarterly Report'!AQ$2)</f>
        <v>173907</v>
      </c>
    </row>
    <row r="31" spans="2:43" x14ac:dyDescent="0.25">
      <c r="B31" s="208" t="s">
        <v>162</v>
      </c>
      <c r="C31" s="208" t="s">
        <v>163</v>
      </c>
      <c r="D31" s="215">
        <f>SUMIFS('FY13-23 Full Data'!$AL28:$FA28,'FY13-23 Full Data'!$AL$2:$FA$2,'New Quarterly Report'!D$1,'FY13-23 Full Data'!$AL$3:$FA$3,'New Quarterly Report'!D$2)</f>
        <v>72715</v>
      </c>
      <c r="E31" s="215">
        <f>SUMIFS('FY13-23 Full Data'!$AL28:$FA28,'FY13-23 Full Data'!$AL$2:$FA$2,'New Quarterly Report'!E$1,'FY13-23 Full Data'!$AL$3:$FA$3,'New Quarterly Report'!E$2)</f>
        <v>657329.9939</v>
      </c>
      <c r="F31" s="215">
        <f>SUMIFS('FY13-23 Full Data'!$AL28:$FA28,'FY13-23 Full Data'!$AL$2:$FA$2,'New Quarterly Report'!F$1,'FY13-23 Full Data'!$AL$3:$FA$3,'New Quarterly Report'!F$2)</f>
        <v>508566.79399999999</v>
      </c>
      <c r="G31" s="215">
        <f>SUMIFS('FY13-23 Full Data'!$AL28:$FA28,'FY13-23 Full Data'!$AL$2:$FA$2,'New Quarterly Report'!G$1,'FY13-23 Full Data'!$AL$3:$FA$3,'New Quarterly Report'!G$2)</f>
        <v>345200.99670000002</v>
      </c>
      <c r="H31" s="215">
        <f>SUMIFS('FY13-23 Full Data'!$AL28:$FA28,'FY13-23 Full Data'!$AL$2:$FA$2,'New Quarterly Report'!H$1,'FY13-23 Full Data'!$AL$3:$FA$3,'New Quarterly Report'!H$2)</f>
        <v>75408.008399999992</v>
      </c>
      <c r="I31" s="215">
        <f>SUMIFS('FY13-23 Full Data'!$AL28:$FA28,'FY13-23 Full Data'!$AL$2:$FA$2,'New Quarterly Report'!I$1,'FY13-23 Full Data'!$AL$3:$FA$3,'New Quarterly Report'!I$2)</f>
        <v>491523.27249999996</v>
      </c>
      <c r="J31" s="215">
        <f>SUMIFS('FY13-23 Full Data'!$AL28:$FA28,'FY13-23 Full Data'!$AL$2:$FA$2,'New Quarterly Report'!J$1,'FY13-23 Full Data'!$AL$3:$FA$3,'New Quarterly Report'!J$2)</f>
        <v>384402.34583000001</v>
      </c>
      <c r="K31" s="215">
        <f>SUMIFS('FY13-23 Full Data'!$AL28:$FA28,'FY13-23 Full Data'!$AL$2:$FA$2,'New Quarterly Report'!K$1,'FY13-23 Full Data'!$AL$3:$FA$3,'New Quarterly Report'!K$2)</f>
        <v>298496.5208</v>
      </c>
      <c r="L31" s="215">
        <f>SUMIFS('FY13-23 Full Data'!$AL28:$FA28,'FY13-23 Full Data'!$AL$2:$FA$2,'New Quarterly Report'!L$1,'FY13-23 Full Data'!$AL$3:$FA$3,'New Quarterly Report'!L$2)</f>
        <v>79995.863270000002</v>
      </c>
      <c r="M31" s="215">
        <f>SUMIFS('FY13-23 Full Data'!$AL28:$FA28,'FY13-23 Full Data'!$AL$2:$FA$2,'New Quarterly Report'!M$1,'FY13-23 Full Data'!$AL$3:$FA$3,'New Quarterly Report'!M$2)</f>
        <v>560525.36595999997</v>
      </c>
      <c r="N31" s="215">
        <f>SUMIFS('FY13-23 Full Data'!$AL28:$FA28,'FY13-23 Full Data'!$AL$2:$FA$2,'New Quarterly Report'!N$1,'FY13-23 Full Data'!$AL$3:$FA$3,'New Quarterly Report'!N$2)</f>
        <v>427708.71804000007</v>
      </c>
      <c r="O31" s="215">
        <f>SUMIFS('FY13-23 Full Data'!$AL28:$FA28,'FY13-23 Full Data'!$AL$2:$FA$2,'New Quarterly Report'!O$1,'FY13-23 Full Data'!$AL$3:$FA$3,'New Quarterly Report'!O$2)</f>
        <v>240010</v>
      </c>
      <c r="P31" s="215">
        <f>SUMIFS('FY13-23 Full Data'!$AL28:$FA28,'FY13-23 Full Data'!$AL$2:$FA$2,'New Quarterly Report'!P$1,'FY13-23 Full Data'!$AL$3:$FA$3,'New Quarterly Report'!P$2)</f>
        <v>30224.678360000002</v>
      </c>
      <c r="Q31" s="215">
        <f>SUMIFS('FY13-23 Full Data'!$AL28:$FA28,'FY13-23 Full Data'!$AL$2:$FA$2,'New Quarterly Report'!Q$1,'FY13-23 Full Data'!$AL$3:$FA$3,'New Quarterly Report'!Q$2)</f>
        <v>463996.89833000005</v>
      </c>
      <c r="R31" s="215">
        <f>SUMIFS('FY13-23 Full Data'!$AL28:$FA28,'FY13-23 Full Data'!$AL$2:$FA$2,'New Quarterly Report'!R$1,'FY13-23 Full Data'!$AL$3:$FA$3,'New Quarterly Report'!R$2)</f>
        <v>345507.04057999997</v>
      </c>
      <c r="S31" s="215">
        <f>SUMIFS('FY13-23 Full Data'!$AL28:$FA28,'FY13-23 Full Data'!$AL$2:$FA$2,'New Quarterly Report'!S$1,'FY13-23 Full Data'!$AL$3:$FA$3,'New Quarterly Report'!S$2)</f>
        <v>170309.00076</v>
      </c>
      <c r="T31" s="215">
        <f>SUMIFS('FY13-23 Full Data'!$AL28:$FA28,'FY13-23 Full Data'!$AL$2:$FA$2,'New Quarterly Report'!T$1,'FY13-23 Full Data'!$AL$3:$FA$3,'New Quarterly Report'!T$2)</f>
        <v>43916</v>
      </c>
      <c r="U31" s="215">
        <f>SUMIFS('FY13-23 Full Data'!$AL28:$FA28,'FY13-23 Full Data'!$AL$2:$FA$2,'New Quarterly Report'!U$1,'FY13-23 Full Data'!$AL$3:$FA$3,'New Quarterly Report'!U$2)</f>
        <v>459004</v>
      </c>
      <c r="V31" s="215">
        <f>SUMIFS('FY13-23 Full Data'!$AL28:$FA28,'FY13-23 Full Data'!$AL$2:$FA$2,'New Quarterly Report'!V$1,'FY13-23 Full Data'!$AL$3:$FA$3,'New Quarterly Report'!V$2)</f>
        <v>309506.52841999999</v>
      </c>
      <c r="W31" s="215">
        <f>SUMIFS('FY13-23 Full Data'!$AL28:$FA28,'FY13-23 Full Data'!$AL$2:$FA$2,'New Quarterly Report'!W$1,'FY13-23 Full Data'!$AL$3:$FA$3,'New Quarterly Report'!W$2)</f>
        <v>207766.47966000001</v>
      </c>
      <c r="X31" s="215">
        <f>SUMIFS('FY13-23 Full Data'!$AL28:$FA28,'FY13-23 Full Data'!$AL$2:$FA$2,'New Quarterly Report'!X$1,'FY13-23 Full Data'!$AL$3:$FA$3,'New Quarterly Report'!X$2)</f>
        <v>50000</v>
      </c>
      <c r="Y31" s="215">
        <f>SUMIFS('FY13-23 Full Data'!$AL28:$FA28,'FY13-23 Full Data'!$AL$2:$FA$2,'New Quarterly Report'!Y$1,'FY13-23 Full Data'!$AL$3:$FA$3,'New Quarterly Report'!Y$2)</f>
        <v>338963.42272000003</v>
      </c>
      <c r="Z31" s="215">
        <f>SUMIFS('FY13-23 Full Data'!$AL28:$FA28,'FY13-23 Full Data'!$AL$2:$FA$2,'New Quarterly Report'!Z$1,'FY13-23 Full Data'!$AL$3:$FA$3,'New Quarterly Report'!Z$2)</f>
        <v>337445.17086000001</v>
      </c>
      <c r="AA31" s="215">
        <f>SUMIFS('FY13-23 Full Data'!$AL28:$FA28,'FY13-23 Full Data'!$AL$2:$FA$2,'New Quarterly Report'!AA$1,'FY13-23 Full Data'!$AL$3:$FA$3,'New Quarterly Report'!AA$2)</f>
        <v>174476.40642000001</v>
      </c>
      <c r="AB31" s="215">
        <f>SUMIFS('FY13-23 Full Data'!$AL28:$FA28,'FY13-23 Full Data'!$AL$2:$FA$2,'New Quarterly Report'!AB$1,'FY13-23 Full Data'!$AL$3:$FA$3,'New Quarterly Report'!AB$2)</f>
        <v>43942.491000000002</v>
      </c>
      <c r="AC31" s="215">
        <f>SUMIFS('FY13-23 Full Data'!$AL28:$FA28,'FY13-23 Full Data'!$AL$2:$FA$2,'New Quarterly Report'!AC$1,'FY13-23 Full Data'!$AL$3:$FA$3,'New Quarterly Report'!AC$2)</f>
        <v>355124.49926000001</v>
      </c>
      <c r="AD31" s="215">
        <f>SUMIFS('FY13-23 Full Data'!$AL28:$FA28,'FY13-23 Full Data'!$AL$2:$FA$2,'New Quarterly Report'!AD$1,'FY13-23 Full Data'!$AL$3:$FA$3,'New Quarterly Report'!AD$2)</f>
        <v>383407.47966000001</v>
      </c>
      <c r="AE31" s="215">
        <f>SUMIFS('FY13-23 Full Data'!$AL28:$FA28,'FY13-23 Full Data'!$AL$2:$FA$2,'New Quarterly Report'!AE$1,'FY13-23 Full Data'!$AL$3:$FA$3,'New Quarterly Report'!AE$2)</f>
        <v>220106.76256</v>
      </c>
      <c r="AF31" s="215">
        <f>SUMIFS('FY13-23 Full Data'!$AL28:$FA28,'FY13-23 Full Data'!$AL$2:$FA$2,'New Quarterly Report'!AF$1,'FY13-23 Full Data'!$AL$3:$FA$3,'New Quarterly Report'!AF$2)</f>
        <v>19461.854749999999</v>
      </c>
      <c r="AG31" s="215">
        <f>SUMIFS('FY13-23 Full Data'!$AL28:$FA28,'FY13-23 Full Data'!$AL$2:$FA$2,'New Quarterly Report'!AG$1,'FY13-23 Full Data'!$AL$3:$FA$3,'New Quarterly Report'!AG$2)</f>
        <v>361690.27982</v>
      </c>
      <c r="AH31" s="215">
        <f>SUMIFS('FY13-23 Full Data'!$AL28:$FA28,'FY13-23 Full Data'!$AL$2:$FA$2,'New Quarterly Report'!AH$1,'FY13-23 Full Data'!$AL$3:$FA$3,'New Quarterly Report'!AH$2)</f>
        <v>369965.11285000003</v>
      </c>
      <c r="AI31" s="215">
        <f>SUMIFS('FY13-23 Full Data'!$AL28:$FA28,'FY13-23 Full Data'!$AL$2:$FA$2,'New Quarterly Report'!AI$1,'FY13-23 Full Data'!$AL$3:$FA$3,'New Quarterly Report'!AI$2)</f>
        <v>205952.63536000001</v>
      </c>
      <c r="AJ31" s="215">
        <f>SUMIFS('FY13-23 Full Data'!$AL28:$FA28,'FY13-23 Full Data'!$AL$2:$FA$2,'New Quarterly Report'!AJ$1,'FY13-23 Full Data'!$AL$3:$FA$3,'New Quarterly Report'!AJ$2)</f>
        <v>27452.18</v>
      </c>
      <c r="AK31" s="215">
        <f>SUMIFS('FY13-23 Full Data'!$AL28:$FA28,'FY13-23 Full Data'!$AL$2:$FA$2,'New Quarterly Report'!AK$1,'FY13-23 Full Data'!$AL$3:$FA$3,'New Quarterly Report'!AK$2)</f>
        <v>314928.03999999998</v>
      </c>
      <c r="AL31" s="215">
        <f>SUMIFS('FY13-23 Full Data'!$AL28:$FA28,'FY13-23 Full Data'!$AL$2:$FA$2,'New Quarterly Report'!AL$1,'FY13-23 Full Data'!$AL$3:$FA$3,'New Quarterly Report'!AL$2)</f>
        <v>319734.05</v>
      </c>
      <c r="AM31" s="215">
        <f>SUMIFS('FY13-23 Full Data'!$AL28:$FA28,'FY13-23 Full Data'!$AL$2:$FA$2,'New Quarterly Report'!AM$1,'FY13-23 Full Data'!$AL$3:$FA$3,'New Quarterly Report'!AM$2)</f>
        <v>185006.58</v>
      </c>
      <c r="AN31" s="215">
        <f>SUMIFS('FY13-23 Full Data'!$AL28:$FA28,'FY13-23 Full Data'!$AL$2:$FA$2,'New Quarterly Report'!AN$1,'FY13-23 Full Data'!$AL$3:$FA$3,'New Quarterly Report'!AN$2)</f>
        <v>35168</v>
      </c>
      <c r="AO31" s="215">
        <f>SUMIFS('FY13-23 Full Data'!$AL28:$FA28,'FY13-23 Full Data'!$AL$2:$FA$2,'New Quarterly Report'!AO$1,'FY13-23 Full Data'!$AL$3:$FA$3,'New Quarterly Report'!AO$2)</f>
        <v>310012</v>
      </c>
      <c r="AP31" s="215">
        <f>SUMIFS('FY13-23 Full Data'!$AL28:$FA28,'FY13-23 Full Data'!$AL$2:$FA$2,'New Quarterly Report'!AP$1,'FY13-23 Full Data'!$AL$3:$FA$3,'New Quarterly Report'!AP$2)</f>
        <v>245008</v>
      </c>
      <c r="AQ31" s="215">
        <f>SUMIFS('FY13-23 Full Data'!$AL28:$FA28,'FY13-23 Full Data'!$AL$2:$FA$2,'New Quarterly Report'!AQ$1,'FY13-23 Full Data'!$AL$3:$FA$3,'New Quarterly Report'!AQ$2)</f>
        <v>215015</v>
      </c>
    </row>
    <row r="32" spans="2:43" x14ac:dyDescent="0.25">
      <c r="B32" s="208" t="s">
        <v>164</v>
      </c>
      <c r="C32" s="208" t="s">
        <v>165</v>
      </c>
      <c r="D32" s="215">
        <f>SUMIFS('FY13-23 Full Data'!$AL29:$FA29,'FY13-23 Full Data'!$AL$2:$FA$2,'New Quarterly Report'!D$1,'FY13-23 Full Data'!$AL$3:$FA$3,'New Quarterly Report'!D$2)</f>
        <v>86463</v>
      </c>
      <c r="E32" s="215">
        <f>SUMIFS('FY13-23 Full Data'!$AL29:$FA29,'FY13-23 Full Data'!$AL$2:$FA$2,'New Quarterly Report'!E$1,'FY13-23 Full Data'!$AL$3:$FA$3,'New Quarterly Report'!E$2)</f>
        <v>697034.42845000001</v>
      </c>
      <c r="F32" s="215">
        <f>SUMIFS('FY13-23 Full Data'!$AL29:$FA29,'FY13-23 Full Data'!$AL$2:$FA$2,'New Quarterly Report'!F$1,'FY13-23 Full Data'!$AL$3:$FA$3,'New Quarterly Report'!F$2)</f>
        <v>581321.00520000001</v>
      </c>
      <c r="G32" s="215">
        <f>SUMIFS('FY13-23 Full Data'!$AL29:$FA29,'FY13-23 Full Data'!$AL$2:$FA$2,'New Quarterly Report'!G$1,'FY13-23 Full Data'!$AL$3:$FA$3,'New Quarterly Report'!G$2)</f>
        <v>298307.87949999998</v>
      </c>
      <c r="H32" s="215">
        <f>SUMIFS('FY13-23 Full Data'!$AL29:$FA29,'FY13-23 Full Data'!$AL$2:$FA$2,'New Quarterly Report'!H$1,'FY13-23 Full Data'!$AL$3:$FA$3,'New Quarterly Report'!H$2)</f>
        <v>76334.161600000007</v>
      </c>
      <c r="I32" s="215">
        <f>SUMIFS('FY13-23 Full Data'!$AL29:$FA29,'FY13-23 Full Data'!$AL$2:$FA$2,'New Quarterly Report'!I$1,'FY13-23 Full Data'!$AL$3:$FA$3,'New Quarterly Report'!I$2)</f>
        <v>500297.98975000001</v>
      </c>
      <c r="J32" s="215">
        <f>SUMIFS('FY13-23 Full Data'!$AL29:$FA29,'FY13-23 Full Data'!$AL$2:$FA$2,'New Quarterly Report'!J$1,'FY13-23 Full Data'!$AL$3:$FA$3,'New Quarterly Report'!J$2)</f>
        <v>399788.14665000001</v>
      </c>
      <c r="K32" s="215">
        <f>SUMIFS('FY13-23 Full Data'!$AL29:$FA29,'FY13-23 Full Data'!$AL$2:$FA$2,'New Quarterly Report'!K$1,'FY13-23 Full Data'!$AL$3:$FA$3,'New Quarterly Report'!K$2)</f>
        <v>260426.10045999999</v>
      </c>
      <c r="L32" s="215">
        <f>SUMIFS('FY13-23 Full Data'!$AL29:$FA29,'FY13-23 Full Data'!$AL$2:$FA$2,'New Quarterly Report'!L$1,'FY13-23 Full Data'!$AL$3:$FA$3,'New Quarterly Report'!L$2)</f>
        <v>88135.511419999995</v>
      </c>
      <c r="M32" s="215">
        <f>SUMIFS('FY13-23 Full Data'!$AL29:$FA29,'FY13-23 Full Data'!$AL$2:$FA$2,'New Quarterly Report'!M$1,'FY13-23 Full Data'!$AL$3:$FA$3,'New Quarterly Report'!M$2)</f>
        <v>559084.12982000003</v>
      </c>
      <c r="N32" s="215">
        <f>SUMIFS('FY13-23 Full Data'!$AL29:$FA29,'FY13-23 Full Data'!$AL$2:$FA$2,'New Quarterly Report'!N$1,'FY13-23 Full Data'!$AL$3:$FA$3,'New Quarterly Report'!N$2)</f>
        <v>490158.65343000006</v>
      </c>
      <c r="O32" s="215">
        <f>SUMIFS('FY13-23 Full Data'!$AL29:$FA29,'FY13-23 Full Data'!$AL$2:$FA$2,'New Quarterly Report'!O$1,'FY13-23 Full Data'!$AL$3:$FA$3,'New Quarterly Report'!O$2)</f>
        <v>432255.99909</v>
      </c>
      <c r="P32" s="215">
        <f>SUMIFS('FY13-23 Full Data'!$AL29:$FA29,'FY13-23 Full Data'!$AL$2:$FA$2,'New Quarterly Report'!P$1,'FY13-23 Full Data'!$AL$3:$FA$3,'New Quarterly Report'!P$2)</f>
        <v>162226.92436</v>
      </c>
      <c r="Q32" s="215">
        <f>SUMIFS('FY13-23 Full Data'!$AL29:$FA29,'FY13-23 Full Data'!$AL$2:$FA$2,'New Quarterly Report'!Q$1,'FY13-23 Full Data'!$AL$3:$FA$3,'New Quarterly Report'!Q$2)</f>
        <v>566171.55732999998</v>
      </c>
      <c r="R32" s="215">
        <f>SUMIFS('FY13-23 Full Data'!$AL29:$FA29,'FY13-23 Full Data'!$AL$2:$FA$2,'New Quarterly Report'!R$1,'FY13-23 Full Data'!$AL$3:$FA$3,'New Quarterly Report'!R$2)</f>
        <v>335082.00678</v>
      </c>
      <c r="S32" s="215">
        <f>SUMIFS('FY13-23 Full Data'!$AL29:$FA29,'FY13-23 Full Data'!$AL$2:$FA$2,'New Quarterly Report'!S$1,'FY13-23 Full Data'!$AL$3:$FA$3,'New Quarterly Report'!S$2)</f>
        <v>197531.4859</v>
      </c>
      <c r="T32" s="215">
        <f>SUMIFS('FY13-23 Full Data'!$AL29:$FA29,'FY13-23 Full Data'!$AL$2:$FA$2,'New Quarterly Report'!T$1,'FY13-23 Full Data'!$AL$3:$FA$3,'New Quarterly Report'!T$2)</f>
        <v>86700.086559999996</v>
      </c>
      <c r="U32" s="215">
        <f>SUMIFS('FY13-23 Full Data'!$AL29:$FA29,'FY13-23 Full Data'!$AL$2:$FA$2,'New Quarterly Report'!U$1,'FY13-23 Full Data'!$AL$3:$FA$3,'New Quarterly Report'!U$2)</f>
        <v>574879.51722000004</v>
      </c>
      <c r="V32" s="215">
        <f>SUMIFS('FY13-23 Full Data'!$AL29:$FA29,'FY13-23 Full Data'!$AL$2:$FA$2,'New Quarterly Report'!V$1,'FY13-23 Full Data'!$AL$3:$FA$3,'New Quarterly Report'!V$2)</f>
        <v>375006.63245000003</v>
      </c>
      <c r="W32" s="215">
        <f>SUMIFS('FY13-23 Full Data'!$AL29:$FA29,'FY13-23 Full Data'!$AL$2:$FA$2,'New Quarterly Report'!W$1,'FY13-23 Full Data'!$AL$3:$FA$3,'New Quarterly Report'!W$2)</f>
        <v>241257.63417</v>
      </c>
      <c r="X32" s="215">
        <f>SUMIFS('FY13-23 Full Data'!$AL29:$FA29,'FY13-23 Full Data'!$AL$2:$FA$2,'New Quarterly Report'!X$1,'FY13-23 Full Data'!$AL$3:$FA$3,'New Quarterly Report'!X$2)</f>
        <v>103974.48338999999</v>
      </c>
      <c r="Y32" s="215">
        <f>SUMIFS('FY13-23 Full Data'!$AL29:$FA29,'FY13-23 Full Data'!$AL$2:$FA$2,'New Quarterly Report'!Y$1,'FY13-23 Full Data'!$AL$3:$FA$3,'New Quarterly Report'!Y$2)</f>
        <v>627865.32285</v>
      </c>
      <c r="Z32" s="215">
        <f>SUMIFS('FY13-23 Full Data'!$AL29:$FA29,'FY13-23 Full Data'!$AL$2:$FA$2,'New Quarterly Report'!Z$1,'FY13-23 Full Data'!$AL$3:$FA$3,'New Quarterly Report'!Z$2)</f>
        <v>515292.41589</v>
      </c>
      <c r="AA32" s="215">
        <f>SUMIFS('FY13-23 Full Data'!$AL29:$FA29,'FY13-23 Full Data'!$AL$2:$FA$2,'New Quarterly Report'!AA$1,'FY13-23 Full Data'!$AL$3:$FA$3,'New Quarterly Report'!AA$2)</f>
        <v>323214.15210000001</v>
      </c>
      <c r="AB32" s="215">
        <f>SUMIFS('FY13-23 Full Data'!$AL29:$FA29,'FY13-23 Full Data'!$AL$2:$FA$2,'New Quarterly Report'!AB$1,'FY13-23 Full Data'!$AL$3:$FA$3,'New Quarterly Report'!AB$2)</f>
        <v>97111.083920000005</v>
      </c>
      <c r="AC32" s="215">
        <f>SUMIFS('FY13-23 Full Data'!$AL29:$FA29,'FY13-23 Full Data'!$AL$2:$FA$2,'New Quarterly Report'!AC$1,'FY13-23 Full Data'!$AL$3:$FA$3,'New Quarterly Report'!AC$2)</f>
        <v>577088.66437999997</v>
      </c>
      <c r="AD32" s="215">
        <f>SUMIFS('FY13-23 Full Data'!$AL29:$FA29,'FY13-23 Full Data'!$AL$2:$FA$2,'New Quarterly Report'!AD$1,'FY13-23 Full Data'!$AL$3:$FA$3,'New Quarterly Report'!AD$2)</f>
        <v>689875.56502999994</v>
      </c>
      <c r="AE32" s="215">
        <f>SUMIFS('FY13-23 Full Data'!$AL29:$FA29,'FY13-23 Full Data'!$AL$2:$FA$2,'New Quarterly Report'!AE$1,'FY13-23 Full Data'!$AL$3:$FA$3,'New Quarterly Report'!AE$2)</f>
        <v>351805.87026</v>
      </c>
      <c r="AF32" s="215">
        <f>SUMIFS('FY13-23 Full Data'!$AL29:$FA29,'FY13-23 Full Data'!$AL$2:$FA$2,'New Quarterly Report'!AF$1,'FY13-23 Full Data'!$AL$3:$FA$3,'New Quarterly Report'!AF$2)</f>
        <v>53227.97193</v>
      </c>
      <c r="AG32" s="215">
        <f>SUMIFS('FY13-23 Full Data'!$AL29:$FA29,'FY13-23 Full Data'!$AL$2:$FA$2,'New Quarterly Report'!AG$1,'FY13-23 Full Data'!$AL$3:$FA$3,'New Quarterly Report'!AG$2)</f>
        <v>698425.42304000002</v>
      </c>
      <c r="AH32" s="215">
        <f>SUMIFS('FY13-23 Full Data'!$AL29:$FA29,'FY13-23 Full Data'!$AL$2:$FA$2,'New Quarterly Report'!AH$1,'FY13-23 Full Data'!$AL$3:$FA$3,'New Quarterly Report'!AH$2)</f>
        <v>624451.86177000008</v>
      </c>
      <c r="AI32" s="215">
        <f>SUMIFS('FY13-23 Full Data'!$AL29:$FA29,'FY13-23 Full Data'!$AL$2:$FA$2,'New Quarterly Report'!AI$1,'FY13-23 Full Data'!$AL$3:$FA$3,'New Quarterly Report'!AI$2)</f>
        <v>341740.35055000003</v>
      </c>
      <c r="AJ32" s="215">
        <f>SUMIFS('FY13-23 Full Data'!$AL29:$FA29,'FY13-23 Full Data'!$AL$2:$FA$2,'New Quarterly Report'!AJ$1,'FY13-23 Full Data'!$AL$3:$FA$3,'New Quarterly Report'!AJ$2)</f>
        <v>72166.009999999995</v>
      </c>
      <c r="AK32" s="215">
        <f>SUMIFS('FY13-23 Full Data'!$AL29:$FA29,'FY13-23 Full Data'!$AL$2:$FA$2,'New Quarterly Report'!AK$1,'FY13-23 Full Data'!$AL$3:$FA$3,'New Quarterly Report'!AK$2)</f>
        <v>747907.5</v>
      </c>
      <c r="AL32" s="215">
        <f>SUMIFS('FY13-23 Full Data'!$AL29:$FA29,'FY13-23 Full Data'!$AL$2:$FA$2,'New Quarterly Report'!AL$1,'FY13-23 Full Data'!$AL$3:$FA$3,'New Quarterly Report'!AL$2)</f>
        <v>642149.15</v>
      </c>
      <c r="AM32" s="215">
        <f>SUMIFS('FY13-23 Full Data'!$AL29:$FA29,'FY13-23 Full Data'!$AL$2:$FA$2,'New Quarterly Report'!AM$1,'FY13-23 Full Data'!$AL$3:$FA$3,'New Quarterly Report'!AM$2)</f>
        <v>284014.17</v>
      </c>
      <c r="AN32" s="215">
        <f>SUMIFS('FY13-23 Full Data'!$AL29:$FA29,'FY13-23 Full Data'!$AL$2:$FA$2,'New Quarterly Report'!AN$1,'FY13-23 Full Data'!$AL$3:$FA$3,'New Quarterly Report'!AN$2)</f>
        <v>51433</v>
      </c>
      <c r="AO32" s="215">
        <f>SUMIFS('FY13-23 Full Data'!$AL29:$FA29,'FY13-23 Full Data'!$AL$2:$FA$2,'New Quarterly Report'!AO$1,'FY13-23 Full Data'!$AL$3:$FA$3,'New Quarterly Report'!AO$2)</f>
        <v>575857</v>
      </c>
      <c r="AP32" s="215">
        <f>SUMIFS('FY13-23 Full Data'!$AL29:$FA29,'FY13-23 Full Data'!$AL$2:$FA$2,'New Quarterly Report'!AP$1,'FY13-23 Full Data'!$AL$3:$FA$3,'New Quarterly Report'!AP$2)</f>
        <v>558216</v>
      </c>
      <c r="AQ32" s="215">
        <f>SUMIFS('FY13-23 Full Data'!$AL29:$FA29,'FY13-23 Full Data'!$AL$2:$FA$2,'New Quarterly Report'!AQ$1,'FY13-23 Full Data'!$AL$3:$FA$3,'New Quarterly Report'!AQ$2)</f>
        <v>186908</v>
      </c>
    </row>
    <row r="33" spans="2:43" x14ac:dyDescent="0.25">
      <c r="B33" s="208" t="s">
        <v>166</v>
      </c>
      <c r="C33" s="208" t="s">
        <v>167</v>
      </c>
      <c r="D33" s="215">
        <f>SUMIFS('FY13-23 Full Data'!$AL30:$FA30,'FY13-23 Full Data'!$AL$2:$FA$2,'New Quarterly Report'!D$1,'FY13-23 Full Data'!$AL$3:$FA$3,'New Quarterly Report'!D$2)</f>
        <v>166144</v>
      </c>
      <c r="E33" s="215">
        <f>SUMIFS('FY13-23 Full Data'!$AL30:$FA30,'FY13-23 Full Data'!$AL$2:$FA$2,'New Quarterly Report'!E$1,'FY13-23 Full Data'!$AL$3:$FA$3,'New Quarterly Report'!E$2)</f>
        <v>1081040.9903800001</v>
      </c>
      <c r="F33" s="215">
        <f>SUMIFS('FY13-23 Full Data'!$AL30:$FA30,'FY13-23 Full Data'!$AL$2:$FA$2,'New Quarterly Report'!F$1,'FY13-23 Full Data'!$AL$3:$FA$3,'New Quarterly Report'!F$2)</f>
        <v>808463.30394000001</v>
      </c>
      <c r="G33" s="215">
        <f>SUMIFS('FY13-23 Full Data'!$AL30:$FA30,'FY13-23 Full Data'!$AL$2:$FA$2,'New Quarterly Report'!G$1,'FY13-23 Full Data'!$AL$3:$FA$3,'New Quarterly Report'!G$2)</f>
        <v>960455.84939999995</v>
      </c>
      <c r="H33" s="215">
        <f>SUMIFS('FY13-23 Full Data'!$AL30:$FA30,'FY13-23 Full Data'!$AL$2:$FA$2,'New Quarterly Report'!H$1,'FY13-23 Full Data'!$AL$3:$FA$3,'New Quarterly Report'!H$2)</f>
        <v>145165.28135</v>
      </c>
      <c r="I33" s="215">
        <f>SUMIFS('FY13-23 Full Data'!$AL30:$FA30,'FY13-23 Full Data'!$AL$2:$FA$2,'New Quarterly Report'!I$1,'FY13-23 Full Data'!$AL$3:$FA$3,'New Quarterly Report'!I$2)</f>
        <v>784794.5</v>
      </c>
      <c r="J33" s="215">
        <f>SUMIFS('FY13-23 Full Data'!$AL30:$FA30,'FY13-23 Full Data'!$AL$2:$FA$2,'New Quarterly Report'!J$1,'FY13-23 Full Data'!$AL$3:$FA$3,'New Quarterly Report'!J$2)</f>
        <v>598191.96039999998</v>
      </c>
      <c r="K33" s="215">
        <f>SUMIFS('FY13-23 Full Data'!$AL30:$FA30,'FY13-23 Full Data'!$AL$2:$FA$2,'New Quarterly Report'!K$1,'FY13-23 Full Data'!$AL$3:$FA$3,'New Quarterly Report'!K$2)</f>
        <v>692303.18479999993</v>
      </c>
      <c r="L33" s="215">
        <f>SUMIFS('FY13-23 Full Data'!$AL30:$FA30,'FY13-23 Full Data'!$AL$2:$FA$2,'New Quarterly Report'!L$1,'FY13-23 Full Data'!$AL$3:$FA$3,'New Quarterly Report'!L$2)</f>
        <v>150111.89980000001</v>
      </c>
      <c r="M33" s="215">
        <f>SUMIFS('FY13-23 Full Data'!$AL30:$FA30,'FY13-23 Full Data'!$AL$2:$FA$2,'New Quarterly Report'!M$1,'FY13-23 Full Data'!$AL$3:$FA$3,'New Quarterly Report'!M$2)</f>
        <v>760745.85483999993</v>
      </c>
      <c r="N33" s="215">
        <f>SUMIFS('FY13-23 Full Data'!$AL30:$FA30,'FY13-23 Full Data'!$AL$2:$FA$2,'New Quarterly Report'!N$1,'FY13-23 Full Data'!$AL$3:$FA$3,'New Quarterly Report'!N$2)</f>
        <v>541977.92604999989</v>
      </c>
      <c r="O33" s="215">
        <f>SUMIFS('FY13-23 Full Data'!$AL30:$FA30,'FY13-23 Full Data'!$AL$2:$FA$2,'New Quarterly Report'!O$1,'FY13-23 Full Data'!$AL$3:$FA$3,'New Quarterly Report'!O$2)</f>
        <v>586732.24386000005</v>
      </c>
      <c r="P33" s="215">
        <f>SUMIFS('FY13-23 Full Data'!$AL30:$FA30,'FY13-23 Full Data'!$AL$2:$FA$2,'New Quarterly Report'!P$1,'FY13-23 Full Data'!$AL$3:$FA$3,'New Quarterly Report'!P$2)</f>
        <v>99923.158720000007</v>
      </c>
      <c r="Q33" s="215">
        <f>SUMIFS('FY13-23 Full Data'!$AL30:$FA30,'FY13-23 Full Data'!$AL$2:$FA$2,'New Quarterly Report'!Q$1,'FY13-23 Full Data'!$AL$3:$FA$3,'New Quarterly Report'!Q$2)</f>
        <v>668557.43692000001</v>
      </c>
      <c r="R33" s="215">
        <f>SUMIFS('FY13-23 Full Data'!$AL30:$FA30,'FY13-23 Full Data'!$AL$2:$FA$2,'New Quarterly Report'!R$1,'FY13-23 Full Data'!$AL$3:$FA$3,'New Quarterly Report'!R$2)</f>
        <v>488003.46455999999</v>
      </c>
      <c r="S33" s="215">
        <f>SUMIFS('FY13-23 Full Data'!$AL30:$FA30,'FY13-23 Full Data'!$AL$2:$FA$2,'New Quarterly Report'!S$1,'FY13-23 Full Data'!$AL$3:$FA$3,'New Quarterly Report'!S$2)</f>
        <v>385699.36806000001</v>
      </c>
      <c r="T33" s="215">
        <f>SUMIFS('FY13-23 Full Data'!$AL30:$FA30,'FY13-23 Full Data'!$AL$2:$FA$2,'New Quarterly Report'!T$1,'FY13-23 Full Data'!$AL$3:$FA$3,'New Quarterly Report'!T$2)</f>
        <v>72166.512619999994</v>
      </c>
      <c r="U33" s="215">
        <f>SUMIFS('FY13-23 Full Data'!$AL30:$FA30,'FY13-23 Full Data'!$AL$2:$FA$2,'New Quarterly Report'!U$1,'FY13-23 Full Data'!$AL$3:$FA$3,'New Quarterly Report'!U$2)</f>
        <v>599380.55556000001</v>
      </c>
      <c r="V33" s="215">
        <f>SUMIFS('FY13-23 Full Data'!$AL30:$FA30,'FY13-23 Full Data'!$AL$2:$FA$2,'New Quarterly Report'!V$1,'FY13-23 Full Data'!$AL$3:$FA$3,'New Quarterly Report'!V$2)</f>
        <v>469231.09706</v>
      </c>
      <c r="W33" s="215">
        <f>SUMIFS('FY13-23 Full Data'!$AL30:$FA30,'FY13-23 Full Data'!$AL$2:$FA$2,'New Quarterly Report'!W$1,'FY13-23 Full Data'!$AL$3:$FA$3,'New Quarterly Report'!W$2)</f>
        <v>425936.69848000002</v>
      </c>
      <c r="X33" s="215">
        <f>SUMIFS('FY13-23 Full Data'!$AL30:$FA30,'FY13-23 Full Data'!$AL$2:$FA$2,'New Quarterly Report'!X$1,'FY13-23 Full Data'!$AL$3:$FA$3,'New Quarterly Report'!X$2)</f>
        <v>131591.13571</v>
      </c>
      <c r="Y33" s="215">
        <f>SUMIFS('FY13-23 Full Data'!$AL30:$FA30,'FY13-23 Full Data'!$AL$2:$FA$2,'New Quarterly Report'!Y$1,'FY13-23 Full Data'!$AL$3:$FA$3,'New Quarterly Report'!Y$2)</f>
        <v>496114.30556000001</v>
      </c>
      <c r="Z33" s="215">
        <f>SUMIFS('FY13-23 Full Data'!$AL30:$FA30,'FY13-23 Full Data'!$AL$2:$FA$2,'New Quarterly Report'!Z$1,'FY13-23 Full Data'!$AL$3:$FA$3,'New Quarterly Report'!Z$2)</f>
        <v>548904.71915999998</v>
      </c>
      <c r="AA33" s="215">
        <f>SUMIFS('FY13-23 Full Data'!$AL30:$FA30,'FY13-23 Full Data'!$AL$2:$FA$2,'New Quarterly Report'!AA$1,'FY13-23 Full Data'!$AL$3:$FA$3,'New Quarterly Report'!AA$2)</f>
        <v>399349.56079999998</v>
      </c>
      <c r="AB33" s="215">
        <f>SUMIFS('FY13-23 Full Data'!$AL30:$FA30,'FY13-23 Full Data'!$AL$2:$FA$2,'New Quarterly Report'!AB$1,'FY13-23 Full Data'!$AL$3:$FA$3,'New Quarterly Report'!AB$2)</f>
        <v>79392.337169999999</v>
      </c>
      <c r="AC33" s="215">
        <f>SUMIFS('FY13-23 Full Data'!$AL30:$FA30,'FY13-23 Full Data'!$AL$2:$FA$2,'New Quarterly Report'!AC$1,'FY13-23 Full Data'!$AL$3:$FA$3,'New Quarterly Report'!AC$2)</f>
        <v>446780.55556000001</v>
      </c>
      <c r="AD33" s="215">
        <f>SUMIFS('FY13-23 Full Data'!$AL30:$FA30,'FY13-23 Full Data'!$AL$2:$FA$2,'New Quarterly Report'!AD$1,'FY13-23 Full Data'!$AL$3:$FA$3,'New Quarterly Report'!AD$2)</f>
        <v>496773.51052000001</v>
      </c>
      <c r="AE33" s="215">
        <f>SUMIFS('FY13-23 Full Data'!$AL30:$FA30,'FY13-23 Full Data'!$AL$2:$FA$2,'New Quarterly Report'!AE$1,'FY13-23 Full Data'!$AL$3:$FA$3,'New Quarterly Report'!AE$2)</f>
        <v>388006.34155999997</v>
      </c>
      <c r="AF33" s="215">
        <f>SUMIFS('FY13-23 Full Data'!$AL30:$FA30,'FY13-23 Full Data'!$AL$2:$FA$2,'New Quarterly Report'!AF$1,'FY13-23 Full Data'!$AL$3:$FA$3,'New Quarterly Report'!AF$2)</f>
        <v>112916.75090999999</v>
      </c>
      <c r="AG33" s="215">
        <f>SUMIFS('FY13-23 Full Data'!$AL30:$FA30,'FY13-23 Full Data'!$AL$2:$FA$2,'New Quarterly Report'!AG$1,'FY13-23 Full Data'!$AL$3:$FA$3,'New Quarterly Report'!AG$2)</f>
        <v>442042.82185999997</v>
      </c>
      <c r="AH33" s="215">
        <f>SUMIFS('FY13-23 Full Data'!$AL30:$FA30,'FY13-23 Full Data'!$AL$2:$FA$2,'New Quarterly Report'!AH$1,'FY13-23 Full Data'!$AL$3:$FA$3,'New Quarterly Report'!AH$2)</f>
        <v>524998.89112000004</v>
      </c>
      <c r="AI33" s="215">
        <f>SUMIFS('FY13-23 Full Data'!$AL30:$FA30,'FY13-23 Full Data'!$AL$2:$FA$2,'New Quarterly Report'!AI$1,'FY13-23 Full Data'!$AL$3:$FA$3,'New Quarterly Report'!AI$2)</f>
        <v>441128.8811</v>
      </c>
      <c r="AJ33" s="215">
        <f>SUMIFS('FY13-23 Full Data'!$AL30:$FA30,'FY13-23 Full Data'!$AL$2:$FA$2,'New Quarterly Report'!AJ$1,'FY13-23 Full Data'!$AL$3:$FA$3,'New Quarterly Report'!AJ$2)</f>
        <v>99393.41</v>
      </c>
      <c r="AK33" s="215">
        <f>SUMIFS('FY13-23 Full Data'!$AL30:$FA30,'FY13-23 Full Data'!$AL$2:$FA$2,'New Quarterly Report'!AK$1,'FY13-23 Full Data'!$AL$3:$FA$3,'New Quarterly Report'!AK$2)</f>
        <v>405576.73</v>
      </c>
      <c r="AL33" s="215">
        <f>SUMIFS('FY13-23 Full Data'!$AL30:$FA30,'FY13-23 Full Data'!$AL$2:$FA$2,'New Quarterly Report'!AL$1,'FY13-23 Full Data'!$AL$3:$FA$3,'New Quarterly Report'!AL$2)</f>
        <v>348689.14</v>
      </c>
      <c r="AM33" s="215">
        <f>SUMIFS('FY13-23 Full Data'!$AL30:$FA30,'FY13-23 Full Data'!$AL$2:$FA$2,'New Quarterly Report'!AM$1,'FY13-23 Full Data'!$AL$3:$FA$3,'New Quarterly Report'!AM$2)</f>
        <v>437400.99000000005</v>
      </c>
      <c r="AN33" s="215">
        <f>SUMIFS('FY13-23 Full Data'!$AL30:$FA30,'FY13-23 Full Data'!$AL$2:$FA$2,'New Quarterly Report'!AN$1,'FY13-23 Full Data'!$AL$3:$FA$3,'New Quarterly Report'!AN$2)</f>
        <v>76454</v>
      </c>
      <c r="AO33" s="215">
        <f>SUMIFS('FY13-23 Full Data'!$AL30:$FA30,'FY13-23 Full Data'!$AL$2:$FA$2,'New Quarterly Report'!AO$1,'FY13-23 Full Data'!$AL$3:$FA$3,'New Quarterly Report'!AO$2)</f>
        <v>461285</v>
      </c>
      <c r="AP33" s="215">
        <f>SUMIFS('FY13-23 Full Data'!$AL30:$FA30,'FY13-23 Full Data'!$AL$2:$FA$2,'New Quarterly Report'!AP$1,'FY13-23 Full Data'!$AL$3:$FA$3,'New Quarterly Report'!AP$2)</f>
        <v>442453</v>
      </c>
      <c r="AQ33" s="215">
        <f>SUMIFS('FY13-23 Full Data'!$AL30:$FA30,'FY13-23 Full Data'!$AL$2:$FA$2,'New Quarterly Report'!AQ$1,'FY13-23 Full Data'!$AL$3:$FA$3,'New Quarterly Report'!AQ$2)</f>
        <v>554701</v>
      </c>
    </row>
    <row r="34" spans="2:43" x14ac:dyDescent="0.25">
      <c r="B34" s="208" t="s">
        <v>169</v>
      </c>
      <c r="C34" s="208" t="s">
        <v>170</v>
      </c>
      <c r="D34" s="215">
        <f>SUMIFS('FY13-23 Full Data'!$AL31:$FA31,'FY13-23 Full Data'!$AL$2:$FA$2,'New Quarterly Report'!D$1,'FY13-23 Full Data'!$AL$3:$FA$3,'New Quarterly Report'!D$2)</f>
        <v>20236</v>
      </c>
      <c r="E34" s="215">
        <f>SUMIFS('FY13-23 Full Data'!$AL31:$FA31,'FY13-23 Full Data'!$AL$2:$FA$2,'New Quarterly Report'!E$1,'FY13-23 Full Data'!$AL$3:$FA$3,'New Quarterly Report'!E$2)</f>
        <v>15066.540309999998</v>
      </c>
      <c r="F34" s="215">
        <f>SUMIFS('FY13-23 Full Data'!$AL31:$FA31,'FY13-23 Full Data'!$AL$2:$FA$2,'New Quarterly Report'!F$1,'FY13-23 Full Data'!$AL$3:$FA$3,'New Quarterly Report'!F$2)</f>
        <v>34500.124450000003</v>
      </c>
      <c r="G34" s="215">
        <f>SUMIFS('FY13-23 Full Data'!$AL31:$FA31,'FY13-23 Full Data'!$AL$2:$FA$2,'New Quarterly Report'!G$1,'FY13-23 Full Data'!$AL$3:$FA$3,'New Quarterly Report'!G$2)</f>
        <v>36760.312589999994</v>
      </c>
      <c r="H34" s="215">
        <f>SUMIFS('FY13-23 Full Data'!$AL31:$FA31,'FY13-23 Full Data'!$AL$2:$FA$2,'New Quarterly Report'!H$1,'FY13-23 Full Data'!$AL$3:$FA$3,'New Quarterly Report'!H$2)</f>
        <v>21199.888550000003</v>
      </c>
      <c r="I34" s="215">
        <f>SUMIFS('FY13-23 Full Data'!$AL31:$FA31,'FY13-23 Full Data'!$AL$2:$FA$2,'New Quarterly Report'!I$1,'FY13-23 Full Data'!$AL$3:$FA$3,'New Quarterly Report'!I$2)</f>
        <v>7752.7785299999987</v>
      </c>
      <c r="J34" s="215">
        <f>SUMIFS('FY13-23 Full Data'!$AL31:$FA31,'FY13-23 Full Data'!$AL$2:$FA$2,'New Quarterly Report'!J$1,'FY13-23 Full Data'!$AL$3:$FA$3,'New Quarterly Report'!J$2)</f>
        <v>21055.780449999998</v>
      </c>
      <c r="K34" s="215">
        <f>SUMIFS('FY13-23 Full Data'!$AL31:$FA31,'FY13-23 Full Data'!$AL$2:$FA$2,'New Quarterly Report'!K$1,'FY13-23 Full Data'!$AL$3:$FA$3,'New Quarterly Report'!K$2)</f>
        <v>13801.87992000001</v>
      </c>
      <c r="L34" s="215">
        <f>SUMIFS('FY13-23 Full Data'!$AL31:$FA31,'FY13-23 Full Data'!$AL$2:$FA$2,'New Quarterly Report'!L$1,'FY13-23 Full Data'!$AL$3:$FA$3,'New Quarterly Report'!L$2)</f>
        <v>5383.4371999999985</v>
      </c>
      <c r="M34" s="215">
        <f>SUMIFS('FY13-23 Full Data'!$AL31:$FA31,'FY13-23 Full Data'!$AL$2:$FA$2,'New Quarterly Report'!M$1,'FY13-23 Full Data'!$AL$3:$FA$3,'New Quarterly Report'!M$2)</f>
        <v>5873.1175600000006</v>
      </c>
      <c r="N34" s="215">
        <f>SUMIFS('FY13-23 Full Data'!$AL31:$FA31,'FY13-23 Full Data'!$AL$2:$FA$2,'New Quarterly Report'!N$1,'FY13-23 Full Data'!$AL$3:$FA$3,'New Quarterly Report'!N$2)</f>
        <v>34278.577610000008</v>
      </c>
      <c r="O34" s="215">
        <f>SUMIFS('FY13-23 Full Data'!$AL31:$FA31,'FY13-23 Full Data'!$AL$2:$FA$2,'New Quarterly Report'!O$1,'FY13-23 Full Data'!$AL$3:$FA$3,'New Quarterly Report'!O$2)</f>
        <v>22059.5213</v>
      </c>
      <c r="P34" s="215">
        <f>SUMIFS('FY13-23 Full Data'!$AL31:$FA31,'FY13-23 Full Data'!$AL$2:$FA$2,'New Quarterly Report'!P$1,'FY13-23 Full Data'!$AL$3:$FA$3,'New Quarterly Report'!P$2)</f>
        <v>18399.535650000002</v>
      </c>
      <c r="Q34" s="215">
        <f>SUMIFS('FY13-23 Full Data'!$AL31:$FA31,'FY13-23 Full Data'!$AL$2:$FA$2,'New Quarterly Report'!Q$1,'FY13-23 Full Data'!$AL$3:$FA$3,'New Quarterly Report'!Q$2)</f>
        <v>4376.7919999999995</v>
      </c>
      <c r="R34" s="215">
        <f>SUMIFS('FY13-23 Full Data'!$AL31:$FA31,'FY13-23 Full Data'!$AL$2:$FA$2,'New Quarterly Report'!R$1,'FY13-23 Full Data'!$AL$3:$FA$3,'New Quarterly Report'!R$2)</f>
        <v>21964.43547</v>
      </c>
      <c r="S34" s="215">
        <f>SUMIFS('FY13-23 Full Data'!$AL31:$FA31,'FY13-23 Full Data'!$AL$2:$FA$2,'New Quarterly Report'!S$1,'FY13-23 Full Data'!$AL$3:$FA$3,'New Quarterly Report'!S$2)</f>
        <v>27967.696940000002</v>
      </c>
      <c r="T34" s="215">
        <f>SUMIFS('FY13-23 Full Data'!$AL31:$FA31,'FY13-23 Full Data'!$AL$2:$FA$2,'New Quarterly Report'!T$1,'FY13-23 Full Data'!$AL$3:$FA$3,'New Quarterly Report'!T$2)</f>
        <v>26268.372850000003</v>
      </c>
      <c r="U34" s="215">
        <f>SUMIFS('FY13-23 Full Data'!$AL31:$FA31,'FY13-23 Full Data'!$AL$2:$FA$2,'New Quarterly Report'!U$1,'FY13-23 Full Data'!$AL$3:$FA$3,'New Quarterly Report'!U$2)</f>
        <v>5020.9655000000002</v>
      </c>
      <c r="V34" s="215">
        <f>SUMIFS('FY13-23 Full Data'!$AL31:$FA31,'FY13-23 Full Data'!$AL$2:$FA$2,'New Quarterly Report'!V$1,'FY13-23 Full Data'!$AL$3:$FA$3,'New Quarterly Report'!V$2)</f>
        <v>15782.1985</v>
      </c>
      <c r="W34" s="215">
        <f>SUMIFS('FY13-23 Full Data'!$AL31:$FA31,'FY13-23 Full Data'!$AL$2:$FA$2,'New Quarterly Report'!W$1,'FY13-23 Full Data'!$AL$3:$FA$3,'New Quarterly Report'!W$2)</f>
        <v>20711.865599999997</v>
      </c>
      <c r="X34" s="215">
        <f>SUMIFS('FY13-23 Full Data'!$AL31:$FA31,'FY13-23 Full Data'!$AL$2:$FA$2,'New Quarterly Report'!X$1,'FY13-23 Full Data'!$AL$3:$FA$3,'New Quarterly Report'!X$2)</f>
        <v>26150.713150000011</v>
      </c>
      <c r="Y34" s="215">
        <f>SUMIFS('FY13-23 Full Data'!$AL31:$FA31,'FY13-23 Full Data'!$AL$2:$FA$2,'New Quarterly Report'!Y$1,'FY13-23 Full Data'!$AL$3:$FA$3,'New Quarterly Report'!Y$2)</f>
        <v>8016.8428299999996</v>
      </c>
      <c r="Z34" s="215">
        <f>SUMIFS('FY13-23 Full Data'!$AL31:$FA31,'FY13-23 Full Data'!$AL$2:$FA$2,'New Quarterly Report'!Z$1,'FY13-23 Full Data'!$AL$3:$FA$3,'New Quarterly Report'!Z$2)</f>
        <v>19973.943010000003</v>
      </c>
      <c r="AA34" s="215">
        <f>SUMIFS('FY13-23 Full Data'!$AL31:$FA31,'FY13-23 Full Data'!$AL$2:$FA$2,'New Quarterly Report'!AA$1,'FY13-23 Full Data'!$AL$3:$FA$3,'New Quarterly Report'!AA$2)</f>
        <v>28682.217880000004</v>
      </c>
      <c r="AB34" s="215">
        <f>SUMIFS('FY13-23 Full Data'!$AL31:$FA31,'FY13-23 Full Data'!$AL$2:$FA$2,'New Quarterly Report'!AB$1,'FY13-23 Full Data'!$AL$3:$FA$3,'New Quarterly Report'!AB$2)</f>
        <v>23510.433090000002</v>
      </c>
      <c r="AC34" s="215">
        <f>SUMIFS('FY13-23 Full Data'!$AL31:$FA31,'FY13-23 Full Data'!$AL$2:$FA$2,'New Quarterly Report'!AC$1,'FY13-23 Full Data'!$AL$3:$FA$3,'New Quarterly Report'!AC$2)</f>
        <v>10851.82344</v>
      </c>
      <c r="AD34" s="215">
        <f>SUMIFS('FY13-23 Full Data'!$AL31:$FA31,'FY13-23 Full Data'!$AL$2:$FA$2,'New Quarterly Report'!AD$1,'FY13-23 Full Data'!$AL$3:$FA$3,'New Quarterly Report'!AD$2)</f>
        <v>25193.152640000008</v>
      </c>
      <c r="AE34" s="215">
        <f>SUMIFS('FY13-23 Full Data'!$AL31:$FA31,'FY13-23 Full Data'!$AL$2:$FA$2,'New Quarterly Report'!AE$1,'FY13-23 Full Data'!$AL$3:$FA$3,'New Quarterly Report'!AE$2)</f>
        <v>14646.87904</v>
      </c>
      <c r="AF34" s="215">
        <f>SUMIFS('FY13-23 Full Data'!$AL31:$FA31,'FY13-23 Full Data'!$AL$2:$FA$2,'New Quarterly Report'!AF$1,'FY13-23 Full Data'!$AL$3:$FA$3,'New Quarterly Report'!AF$2)</f>
        <v>611.5300699999998</v>
      </c>
      <c r="AG34" s="215">
        <f>SUMIFS('FY13-23 Full Data'!$AL31:$FA31,'FY13-23 Full Data'!$AL$2:$FA$2,'New Quarterly Report'!AG$1,'FY13-23 Full Data'!$AL$3:$FA$3,'New Quarterly Report'!AG$2)</f>
        <v>2.2737367544323206E-13</v>
      </c>
      <c r="AH34" s="215">
        <f>SUMIFS('FY13-23 Full Data'!$AL31:$FA31,'FY13-23 Full Data'!$AL$2:$FA$2,'New Quarterly Report'!AH$1,'FY13-23 Full Data'!$AL$3:$FA$3,'New Quarterly Report'!AH$2)</f>
        <v>75209.776649999971</v>
      </c>
      <c r="AI34" s="215">
        <f>SUMIFS('FY13-23 Full Data'!$AL31:$FA31,'FY13-23 Full Data'!$AL$2:$FA$2,'New Quarterly Report'!AI$1,'FY13-23 Full Data'!$AL$3:$FA$3,'New Quarterly Report'!AI$2)</f>
        <v>57470.704380000003</v>
      </c>
      <c r="AJ34" s="215">
        <f>SUMIFS('FY13-23 Full Data'!$AL31:$FA31,'FY13-23 Full Data'!$AL$2:$FA$2,'New Quarterly Report'!AJ$1,'FY13-23 Full Data'!$AL$3:$FA$3,'New Quarterly Report'!AJ$2)</f>
        <v>48962.11</v>
      </c>
      <c r="AK34" s="215">
        <f>SUMIFS('FY13-23 Full Data'!$AL31:$FA31,'FY13-23 Full Data'!$AL$2:$FA$2,'New Quarterly Report'!AK$1,'FY13-23 Full Data'!$AL$3:$FA$3,'New Quarterly Report'!AK$2)</f>
        <v>11871.14</v>
      </c>
      <c r="AL34" s="215">
        <f>SUMIFS('FY13-23 Full Data'!$AL31:$FA31,'FY13-23 Full Data'!$AL$2:$FA$2,'New Quarterly Report'!AL$1,'FY13-23 Full Data'!$AL$3:$FA$3,'New Quarterly Report'!AL$2)</f>
        <v>147929.83000000002</v>
      </c>
      <c r="AM34" s="215">
        <f>SUMIFS('FY13-23 Full Data'!$AL31:$FA31,'FY13-23 Full Data'!$AL$2:$FA$2,'New Quarterly Report'!AM$1,'FY13-23 Full Data'!$AL$3:$FA$3,'New Quarterly Report'!AM$2)</f>
        <v>44398.720000000001</v>
      </c>
      <c r="AN34" s="215">
        <f>SUMIFS('FY13-23 Full Data'!$AL31:$FA31,'FY13-23 Full Data'!$AL$2:$FA$2,'New Quarterly Report'!AN$1,'FY13-23 Full Data'!$AL$3:$FA$3,'New Quarterly Report'!AN$2)</f>
        <v>14249</v>
      </c>
      <c r="AO34" s="215">
        <f>SUMIFS('FY13-23 Full Data'!$AL31:$FA31,'FY13-23 Full Data'!$AL$2:$FA$2,'New Quarterly Report'!AO$1,'FY13-23 Full Data'!$AL$3:$FA$3,'New Quarterly Report'!AO$2)</f>
        <v>48373</v>
      </c>
      <c r="AP34" s="215">
        <f>SUMIFS('FY13-23 Full Data'!$AL31:$FA31,'FY13-23 Full Data'!$AL$2:$FA$2,'New Quarterly Report'!AP$1,'FY13-23 Full Data'!$AL$3:$FA$3,'New Quarterly Report'!AP$2)</f>
        <v>41052</v>
      </c>
      <c r="AQ34" s="215">
        <f>SUMIFS('FY13-23 Full Data'!$AL31:$FA31,'FY13-23 Full Data'!$AL$2:$FA$2,'New Quarterly Report'!AQ$1,'FY13-23 Full Data'!$AL$3:$FA$3,'New Quarterly Report'!AQ$2)</f>
        <v>44692</v>
      </c>
    </row>
    <row r="35" spans="2:43" x14ac:dyDescent="0.25">
      <c r="B35" s="208" t="s">
        <v>172</v>
      </c>
      <c r="C35" s="208" t="s">
        <v>173</v>
      </c>
      <c r="D35" s="215">
        <f>SUMIFS('FY13-23 Full Data'!$AL32:$FA32,'FY13-23 Full Data'!$AL$2:$FA$2,'New Quarterly Report'!D$1,'FY13-23 Full Data'!$AL$3:$FA$3,'New Quarterly Report'!D$2)</f>
        <v>84070</v>
      </c>
      <c r="E35" s="215">
        <f>SUMIFS('FY13-23 Full Data'!$AL32:$FA32,'FY13-23 Full Data'!$AL$2:$FA$2,'New Quarterly Report'!E$1,'FY13-23 Full Data'!$AL$3:$FA$3,'New Quarterly Report'!E$2)</f>
        <v>57004.391900000002</v>
      </c>
      <c r="F35" s="215">
        <f>SUMIFS('FY13-23 Full Data'!$AL32:$FA32,'FY13-23 Full Data'!$AL$2:$FA$2,'New Quarterly Report'!F$1,'FY13-23 Full Data'!$AL$3:$FA$3,'New Quarterly Report'!F$2)</f>
        <v>119678.75685000002</v>
      </c>
      <c r="G35" s="215">
        <f>SUMIFS('FY13-23 Full Data'!$AL32:$FA32,'FY13-23 Full Data'!$AL$2:$FA$2,'New Quarterly Report'!G$1,'FY13-23 Full Data'!$AL$3:$FA$3,'New Quarterly Report'!G$2)</f>
        <v>223901.87026999998</v>
      </c>
      <c r="H35" s="215">
        <f>SUMIFS('FY13-23 Full Data'!$AL32:$FA32,'FY13-23 Full Data'!$AL$2:$FA$2,'New Quarterly Report'!H$1,'FY13-23 Full Data'!$AL$3:$FA$3,'New Quarterly Report'!H$2)</f>
        <v>129404.33525999999</v>
      </c>
      <c r="I35" s="215">
        <f>SUMIFS('FY13-23 Full Data'!$AL32:$FA32,'FY13-23 Full Data'!$AL$2:$FA$2,'New Quarterly Report'!I$1,'FY13-23 Full Data'!$AL$3:$FA$3,'New Quarterly Report'!I$2)</f>
        <v>29136.534619999999</v>
      </c>
      <c r="J35" s="215">
        <f>SUMIFS('FY13-23 Full Data'!$AL32:$FA32,'FY13-23 Full Data'!$AL$2:$FA$2,'New Quarterly Report'!J$1,'FY13-23 Full Data'!$AL$3:$FA$3,'New Quarterly Report'!J$2)</f>
        <v>141541.86163</v>
      </c>
      <c r="K35" s="215">
        <f>SUMIFS('FY13-23 Full Data'!$AL32:$FA32,'FY13-23 Full Data'!$AL$2:$FA$2,'New Quarterly Report'!K$1,'FY13-23 Full Data'!$AL$3:$FA$3,'New Quarterly Report'!K$2)</f>
        <v>233326.56727000003</v>
      </c>
      <c r="L35" s="215">
        <f>SUMIFS('FY13-23 Full Data'!$AL32:$FA32,'FY13-23 Full Data'!$AL$2:$FA$2,'New Quarterly Report'!L$1,'FY13-23 Full Data'!$AL$3:$FA$3,'New Quarterly Report'!L$2)</f>
        <v>77934.853340000001</v>
      </c>
      <c r="M35" s="215">
        <f>SUMIFS('FY13-23 Full Data'!$AL32:$FA32,'FY13-23 Full Data'!$AL$2:$FA$2,'New Quarterly Report'!M$1,'FY13-23 Full Data'!$AL$3:$FA$3,'New Quarterly Report'!M$2)</f>
        <v>31586.800650000005</v>
      </c>
      <c r="N35" s="215">
        <f>SUMIFS('FY13-23 Full Data'!$AL32:$FA32,'FY13-23 Full Data'!$AL$2:$FA$2,'New Quarterly Report'!N$1,'FY13-23 Full Data'!$AL$3:$FA$3,'New Quarterly Report'!N$2)</f>
        <v>105085.12049999999</v>
      </c>
      <c r="O35" s="215">
        <f>SUMIFS('FY13-23 Full Data'!$AL32:$FA32,'FY13-23 Full Data'!$AL$2:$FA$2,'New Quarterly Report'!O$1,'FY13-23 Full Data'!$AL$3:$FA$3,'New Quarterly Report'!O$2)</f>
        <v>212351.49965000001</v>
      </c>
      <c r="P35" s="215">
        <f>SUMIFS('FY13-23 Full Data'!$AL32:$FA32,'FY13-23 Full Data'!$AL$2:$FA$2,'New Quarterly Report'!P$1,'FY13-23 Full Data'!$AL$3:$FA$3,'New Quarterly Report'!P$2)</f>
        <v>77509.509910000008</v>
      </c>
      <c r="Q35" s="215">
        <f>SUMIFS('FY13-23 Full Data'!$AL32:$FA32,'FY13-23 Full Data'!$AL$2:$FA$2,'New Quarterly Report'!Q$1,'FY13-23 Full Data'!$AL$3:$FA$3,'New Quarterly Report'!Q$2)</f>
        <v>56436.76226000001</v>
      </c>
      <c r="R35" s="215">
        <f>SUMIFS('FY13-23 Full Data'!$AL32:$FA32,'FY13-23 Full Data'!$AL$2:$FA$2,'New Quarterly Report'!R$1,'FY13-23 Full Data'!$AL$3:$FA$3,'New Quarterly Report'!R$2)</f>
        <v>205068.92812999996</v>
      </c>
      <c r="S35" s="215">
        <f>SUMIFS('FY13-23 Full Data'!$AL32:$FA32,'FY13-23 Full Data'!$AL$2:$FA$2,'New Quarterly Report'!S$1,'FY13-23 Full Data'!$AL$3:$FA$3,'New Quarterly Report'!S$2)</f>
        <v>242563.92173</v>
      </c>
      <c r="T35" s="215">
        <f>SUMIFS('FY13-23 Full Data'!$AL32:$FA32,'FY13-23 Full Data'!$AL$2:$FA$2,'New Quarterly Report'!T$1,'FY13-23 Full Data'!$AL$3:$FA$3,'New Quarterly Report'!T$2)</f>
        <v>165312.52743000005</v>
      </c>
      <c r="U35" s="215">
        <f>SUMIFS('FY13-23 Full Data'!$AL32:$FA32,'FY13-23 Full Data'!$AL$2:$FA$2,'New Quarterly Report'!U$1,'FY13-23 Full Data'!$AL$3:$FA$3,'New Quarterly Report'!U$2)</f>
        <v>224303.69492000004</v>
      </c>
      <c r="V35" s="215">
        <f>SUMIFS('FY13-23 Full Data'!$AL32:$FA32,'FY13-23 Full Data'!$AL$2:$FA$2,'New Quarterly Report'!V$1,'FY13-23 Full Data'!$AL$3:$FA$3,'New Quarterly Report'!V$2)</f>
        <v>323729.37183000008</v>
      </c>
      <c r="W35" s="215">
        <f>SUMIFS('FY13-23 Full Data'!$AL32:$FA32,'FY13-23 Full Data'!$AL$2:$FA$2,'New Quarterly Report'!W$1,'FY13-23 Full Data'!$AL$3:$FA$3,'New Quarterly Report'!W$2)</f>
        <v>302269.65291</v>
      </c>
      <c r="X35" s="215">
        <f>SUMIFS('FY13-23 Full Data'!$AL32:$FA32,'FY13-23 Full Data'!$AL$2:$FA$2,'New Quarterly Report'!X$1,'FY13-23 Full Data'!$AL$3:$FA$3,'New Quarterly Report'!X$2)</f>
        <v>273799.86561000004</v>
      </c>
      <c r="Y35" s="215">
        <f>SUMIFS('FY13-23 Full Data'!$AL32:$FA32,'FY13-23 Full Data'!$AL$2:$FA$2,'New Quarterly Report'!Y$1,'FY13-23 Full Data'!$AL$3:$FA$3,'New Quarterly Report'!Y$2)</f>
        <v>169135.65000000002</v>
      </c>
      <c r="Z35" s="215">
        <f>SUMIFS('FY13-23 Full Data'!$AL32:$FA32,'FY13-23 Full Data'!$AL$2:$FA$2,'New Quarterly Report'!Z$1,'FY13-23 Full Data'!$AL$3:$FA$3,'New Quarterly Report'!Z$2)</f>
        <v>259294.02228000009</v>
      </c>
      <c r="AA35" s="215">
        <f>SUMIFS('FY13-23 Full Data'!$AL32:$FA32,'FY13-23 Full Data'!$AL$2:$FA$2,'New Quarterly Report'!AA$1,'FY13-23 Full Data'!$AL$3:$FA$3,'New Quarterly Report'!AA$2)</f>
        <v>267862.06985999999</v>
      </c>
      <c r="AB35" s="215">
        <f>SUMIFS('FY13-23 Full Data'!$AL32:$FA32,'FY13-23 Full Data'!$AL$2:$FA$2,'New Quarterly Report'!AB$1,'FY13-23 Full Data'!$AL$3:$FA$3,'New Quarterly Report'!AB$2)</f>
        <v>144064.35504999998</v>
      </c>
      <c r="AC35" s="215">
        <f>SUMIFS('FY13-23 Full Data'!$AL32:$FA32,'FY13-23 Full Data'!$AL$2:$FA$2,'New Quarterly Report'!AC$1,'FY13-23 Full Data'!$AL$3:$FA$3,'New Quarterly Report'!AC$2)</f>
        <v>99642.312240000028</v>
      </c>
      <c r="AD35" s="215">
        <f>SUMIFS('FY13-23 Full Data'!$AL32:$FA32,'FY13-23 Full Data'!$AL$2:$FA$2,'New Quarterly Report'!AD$1,'FY13-23 Full Data'!$AL$3:$FA$3,'New Quarterly Report'!AD$2)</f>
        <v>210541.16291000001</v>
      </c>
      <c r="AE35" s="215">
        <f>SUMIFS('FY13-23 Full Data'!$AL32:$FA32,'FY13-23 Full Data'!$AL$2:$FA$2,'New Quarterly Report'!AE$1,'FY13-23 Full Data'!$AL$3:$FA$3,'New Quarterly Report'!AE$2)</f>
        <v>222756.90617</v>
      </c>
      <c r="AF35" s="215">
        <f>SUMIFS('FY13-23 Full Data'!$AL32:$FA32,'FY13-23 Full Data'!$AL$2:$FA$2,'New Quarterly Report'!AF$1,'FY13-23 Full Data'!$AL$3:$FA$3,'New Quarterly Report'!AF$2)</f>
        <v>150832.66673000003</v>
      </c>
      <c r="AG35" s="215">
        <f>SUMIFS('FY13-23 Full Data'!$AL32:$FA32,'FY13-23 Full Data'!$AL$2:$FA$2,'New Quarterly Report'!AG$1,'FY13-23 Full Data'!$AL$3:$FA$3,'New Quarterly Report'!AG$2)</f>
        <v>75071.052259999997</v>
      </c>
      <c r="AH35" s="215">
        <f>SUMIFS('FY13-23 Full Data'!$AL32:$FA32,'FY13-23 Full Data'!$AL$2:$FA$2,'New Quarterly Report'!AH$1,'FY13-23 Full Data'!$AL$3:$FA$3,'New Quarterly Report'!AH$2)</f>
        <v>142973.18671000001</v>
      </c>
      <c r="AI35" s="215">
        <f>SUMIFS('FY13-23 Full Data'!$AL32:$FA32,'FY13-23 Full Data'!$AL$2:$FA$2,'New Quarterly Report'!AI$1,'FY13-23 Full Data'!$AL$3:$FA$3,'New Quarterly Report'!AI$2)</f>
        <v>217649.52910000004</v>
      </c>
      <c r="AJ35" s="215">
        <f>SUMIFS('FY13-23 Full Data'!$AL32:$FA32,'FY13-23 Full Data'!$AL$2:$FA$2,'New Quarterly Report'!AJ$1,'FY13-23 Full Data'!$AL$3:$FA$3,'New Quarterly Report'!AJ$2)</f>
        <v>125223.92</v>
      </c>
      <c r="AK35" s="215">
        <f>SUMIFS('FY13-23 Full Data'!$AL32:$FA32,'FY13-23 Full Data'!$AL$2:$FA$2,'New Quarterly Report'!AK$1,'FY13-23 Full Data'!$AL$3:$FA$3,'New Quarterly Report'!AK$2)</f>
        <v>81200.05</v>
      </c>
      <c r="AL35" s="215">
        <f>SUMIFS('FY13-23 Full Data'!$AL32:$FA32,'FY13-23 Full Data'!$AL$2:$FA$2,'New Quarterly Report'!AL$1,'FY13-23 Full Data'!$AL$3:$FA$3,'New Quarterly Report'!AL$2)</f>
        <v>64739.990000000005</v>
      </c>
      <c r="AM35" s="215">
        <f>SUMIFS('FY13-23 Full Data'!$AL32:$FA32,'FY13-23 Full Data'!$AL$2:$FA$2,'New Quarterly Report'!AM$1,'FY13-23 Full Data'!$AL$3:$FA$3,'New Quarterly Report'!AM$2)</f>
        <v>87284.95</v>
      </c>
      <c r="AN35" s="215">
        <f>SUMIFS('FY13-23 Full Data'!$AL32:$FA32,'FY13-23 Full Data'!$AL$2:$FA$2,'New Quarterly Report'!AN$1,'FY13-23 Full Data'!$AL$3:$FA$3,'New Quarterly Report'!AN$2)</f>
        <v>66180</v>
      </c>
      <c r="AO35" s="215">
        <f>SUMIFS('FY13-23 Full Data'!$AL32:$FA32,'FY13-23 Full Data'!$AL$2:$FA$2,'New Quarterly Report'!AO$1,'FY13-23 Full Data'!$AL$3:$FA$3,'New Quarterly Report'!AO$2)</f>
        <v>20664</v>
      </c>
      <c r="AP35" s="215">
        <f>SUMIFS('FY13-23 Full Data'!$AL32:$FA32,'FY13-23 Full Data'!$AL$2:$FA$2,'New Quarterly Report'!AP$1,'FY13-23 Full Data'!$AL$3:$FA$3,'New Quarterly Report'!AP$2)</f>
        <v>66668</v>
      </c>
      <c r="AQ35" s="215">
        <f>SUMIFS('FY13-23 Full Data'!$AL32:$FA32,'FY13-23 Full Data'!$AL$2:$FA$2,'New Quarterly Report'!AQ$1,'FY13-23 Full Data'!$AL$3:$FA$3,'New Quarterly Report'!AQ$2)</f>
        <v>90952</v>
      </c>
    </row>
    <row r="36" spans="2:43" x14ac:dyDescent="0.25">
      <c r="B36" s="208" t="s">
        <v>174</v>
      </c>
      <c r="C36" s="208" t="s">
        <v>175</v>
      </c>
      <c r="D36" s="215">
        <f>SUMIFS('FY13-23 Full Data'!$AL33:$FA33,'FY13-23 Full Data'!$AL$2:$FA$2,'New Quarterly Report'!D$1,'FY13-23 Full Data'!$AL$3:$FA$3,'New Quarterly Report'!D$2)</f>
        <v>11155</v>
      </c>
      <c r="E36" s="215">
        <f>SUMIFS('FY13-23 Full Data'!$AL33:$FA33,'FY13-23 Full Data'!$AL$2:$FA$2,'New Quarterly Report'!E$1,'FY13-23 Full Data'!$AL$3:$FA$3,'New Quarterly Report'!E$2)</f>
        <v>10738.999949999999</v>
      </c>
      <c r="F36" s="215">
        <f>SUMIFS('FY13-23 Full Data'!$AL33:$FA33,'FY13-23 Full Data'!$AL$2:$FA$2,'New Quarterly Report'!F$1,'FY13-23 Full Data'!$AL$3:$FA$3,'New Quarterly Report'!F$2)</f>
        <v>46146.232550000001</v>
      </c>
      <c r="G36" s="215">
        <f>SUMIFS('FY13-23 Full Data'!$AL33:$FA33,'FY13-23 Full Data'!$AL$2:$FA$2,'New Quarterly Report'!G$1,'FY13-23 Full Data'!$AL$3:$FA$3,'New Quarterly Report'!G$2)</f>
        <v>34751.325240000006</v>
      </c>
      <c r="H36" s="215">
        <f>SUMIFS('FY13-23 Full Data'!$AL33:$FA33,'FY13-23 Full Data'!$AL$2:$FA$2,'New Quarterly Report'!H$1,'FY13-23 Full Data'!$AL$3:$FA$3,'New Quarterly Report'!H$2)</f>
        <v>23006.390729999999</v>
      </c>
      <c r="I36" s="215">
        <f>SUMIFS('FY13-23 Full Data'!$AL33:$FA33,'FY13-23 Full Data'!$AL$2:$FA$2,'New Quarterly Report'!I$1,'FY13-23 Full Data'!$AL$3:$FA$3,'New Quarterly Report'!I$2)</f>
        <v>5392.7233400000005</v>
      </c>
      <c r="J36" s="215">
        <f>SUMIFS('FY13-23 Full Data'!$AL33:$FA33,'FY13-23 Full Data'!$AL$2:$FA$2,'New Quarterly Report'!J$1,'FY13-23 Full Data'!$AL$3:$FA$3,'New Quarterly Report'!J$2)</f>
        <v>49506.050110000004</v>
      </c>
      <c r="K36" s="215">
        <f>SUMIFS('FY13-23 Full Data'!$AL33:$FA33,'FY13-23 Full Data'!$AL$2:$FA$2,'New Quarterly Report'!K$1,'FY13-23 Full Data'!$AL$3:$FA$3,'New Quarterly Report'!K$2)</f>
        <v>34753.195189999999</v>
      </c>
      <c r="L36" s="215">
        <f>SUMIFS('FY13-23 Full Data'!$AL33:$FA33,'FY13-23 Full Data'!$AL$2:$FA$2,'New Quarterly Report'!L$1,'FY13-23 Full Data'!$AL$3:$FA$3,'New Quarterly Report'!L$2)</f>
        <v>17060.2945</v>
      </c>
      <c r="M36" s="215">
        <f>SUMIFS('FY13-23 Full Data'!$AL33:$FA33,'FY13-23 Full Data'!$AL$2:$FA$2,'New Quarterly Report'!M$1,'FY13-23 Full Data'!$AL$3:$FA$3,'New Quarterly Report'!M$2)</f>
        <v>5773.0722599999999</v>
      </c>
      <c r="N36" s="215">
        <f>SUMIFS('FY13-23 Full Data'!$AL33:$FA33,'FY13-23 Full Data'!$AL$2:$FA$2,'New Quarterly Report'!N$1,'FY13-23 Full Data'!$AL$3:$FA$3,'New Quarterly Report'!N$2)</f>
        <v>38591.260160000005</v>
      </c>
      <c r="O36" s="215">
        <f>SUMIFS('FY13-23 Full Data'!$AL33:$FA33,'FY13-23 Full Data'!$AL$2:$FA$2,'New Quarterly Report'!O$1,'FY13-23 Full Data'!$AL$3:$FA$3,'New Quarterly Report'!O$2)</f>
        <v>48352.626570000008</v>
      </c>
      <c r="P36" s="215">
        <f>SUMIFS('FY13-23 Full Data'!$AL33:$FA33,'FY13-23 Full Data'!$AL$2:$FA$2,'New Quarterly Report'!P$1,'FY13-23 Full Data'!$AL$3:$FA$3,'New Quarterly Report'!P$2)</f>
        <v>15108.032479999998</v>
      </c>
      <c r="Q36" s="215">
        <f>SUMIFS('FY13-23 Full Data'!$AL33:$FA33,'FY13-23 Full Data'!$AL$2:$FA$2,'New Quarterly Report'!Q$1,'FY13-23 Full Data'!$AL$3:$FA$3,'New Quarterly Report'!Q$2)</f>
        <v>6049.4329200000002</v>
      </c>
      <c r="R36" s="215">
        <f>SUMIFS('FY13-23 Full Data'!$AL33:$FA33,'FY13-23 Full Data'!$AL$2:$FA$2,'New Quarterly Report'!R$1,'FY13-23 Full Data'!$AL$3:$FA$3,'New Quarterly Report'!R$2)</f>
        <v>45780.395839999997</v>
      </c>
      <c r="S36" s="215">
        <f>SUMIFS('FY13-23 Full Data'!$AL33:$FA33,'FY13-23 Full Data'!$AL$2:$FA$2,'New Quarterly Report'!S$1,'FY13-23 Full Data'!$AL$3:$FA$3,'New Quarterly Report'!S$2)</f>
        <v>21678.57431</v>
      </c>
      <c r="T36" s="215">
        <f>SUMIFS('FY13-23 Full Data'!$AL33:$FA33,'FY13-23 Full Data'!$AL$2:$FA$2,'New Quarterly Report'!T$1,'FY13-23 Full Data'!$AL$3:$FA$3,'New Quarterly Report'!T$2)</f>
        <v>6109.7375099999981</v>
      </c>
      <c r="U36" s="215">
        <f>SUMIFS('FY13-23 Full Data'!$AL33:$FA33,'FY13-23 Full Data'!$AL$2:$FA$2,'New Quarterly Report'!U$1,'FY13-23 Full Data'!$AL$3:$FA$3,'New Quarterly Report'!U$2)</f>
        <v>8766.8770799999984</v>
      </c>
      <c r="V36" s="215">
        <f>SUMIFS('FY13-23 Full Data'!$AL33:$FA33,'FY13-23 Full Data'!$AL$2:$FA$2,'New Quarterly Report'!V$1,'FY13-23 Full Data'!$AL$3:$FA$3,'New Quarterly Report'!V$2)</f>
        <v>15358.691920000003</v>
      </c>
      <c r="W36" s="215">
        <f>SUMIFS('FY13-23 Full Data'!$AL33:$FA33,'FY13-23 Full Data'!$AL$2:$FA$2,'New Quarterly Report'!W$1,'FY13-23 Full Data'!$AL$3:$FA$3,'New Quarterly Report'!W$2)</f>
        <v>12690.153600000001</v>
      </c>
      <c r="X36" s="215">
        <f>SUMIFS('FY13-23 Full Data'!$AL33:$FA33,'FY13-23 Full Data'!$AL$2:$FA$2,'New Quarterly Report'!X$1,'FY13-23 Full Data'!$AL$3:$FA$3,'New Quarterly Report'!X$2)</f>
        <v>5571.7825600000006</v>
      </c>
      <c r="Y36" s="215">
        <f>SUMIFS('FY13-23 Full Data'!$AL33:$FA33,'FY13-23 Full Data'!$AL$2:$FA$2,'New Quarterly Report'!Y$1,'FY13-23 Full Data'!$AL$3:$FA$3,'New Quarterly Report'!Y$2)</f>
        <v>2479.30287</v>
      </c>
      <c r="Z36" s="215">
        <f>SUMIFS('FY13-23 Full Data'!$AL33:$FA33,'FY13-23 Full Data'!$AL$2:$FA$2,'New Quarterly Report'!Z$1,'FY13-23 Full Data'!$AL$3:$FA$3,'New Quarterly Report'!Z$2)</f>
        <v>33313.898780000003</v>
      </c>
      <c r="AA36" s="215">
        <f>SUMIFS('FY13-23 Full Data'!$AL33:$FA33,'FY13-23 Full Data'!$AL$2:$FA$2,'New Quarterly Report'!AA$1,'FY13-23 Full Data'!$AL$3:$FA$3,'New Quarterly Report'!AA$2)</f>
        <v>12757.320469999999</v>
      </c>
      <c r="AB36" s="215">
        <f>SUMIFS('FY13-23 Full Data'!$AL33:$FA33,'FY13-23 Full Data'!$AL$2:$FA$2,'New Quarterly Report'!AB$1,'FY13-23 Full Data'!$AL$3:$FA$3,'New Quarterly Report'!AB$2)</f>
        <v>2542.1865100000005</v>
      </c>
      <c r="AC36" s="215">
        <f>SUMIFS('FY13-23 Full Data'!$AL33:$FA33,'FY13-23 Full Data'!$AL$2:$FA$2,'New Quarterly Report'!AC$1,'FY13-23 Full Data'!$AL$3:$FA$3,'New Quarterly Report'!AC$2)</f>
        <v>3438.5483899999999</v>
      </c>
      <c r="AD36" s="215">
        <f>SUMIFS('FY13-23 Full Data'!$AL33:$FA33,'FY13-23 Full Data'!$AL$2:$FA$2,'New Quarterly Report'!AD$1,'FY13-23 Full Data'!$AL$3:$FA$3,'New Quarterly Report'!AD$2)</f>
        <v>34222.639660000001</v>
      </c>
      <c r="AE36" s="215">
        <f>SUMIFS('FY13-23 Full Data'!$AL33:$FA33,'FY13-23 Full Data'!$AL$2:$FA$2,'New Quarterly Report'!AE$1,'FY13-23 Full Data'!$AL$3:$FA$3,'New Quarterly Report'!AE$2)</f>
        <v>8204.8349899999994</v>
      </c>
      <c r="AF36" s="215">
        <f>SUMIFS('FY13-23 Full Data'!$AL33:$FA33,'FY13-23 Full Data'!$AL$2:$FA$2,'New Quarterly Report'!AF$1,'FY13-23 Full Data'!$AL$3:$FA$3,'New Quarterly Report'!AF$2)</f>
        <v>-12895.008949999999</v>
      </c>
      <c r="AG36" s="215">
        <f>SUMIFS('FY13-23 Full Data'!$AL33:$FA33,'FY13-23 Full Data'!$AL$2:$FA$2,'New Quarterly Report'!AG$1,'FY13-23 Full Data'!$AL$3:$FA$3,'New Quarterly Report'!AG$2)</f>
        <v>2028.9780600000004</v>
      </c>
      <c r="AH36" s="215">
        <f>SUMIFS('FY13-23 Full Data'!$AL33:$FA33,'FY13-23 Full Data'!$AL$2:$FA$2,'New Quarterly Report'!AH$1,'FY13-23 Full Data'!$AL$3:$FA$3,'New Quarterly Report'!AH$2)</f>
        <v>32975.976990000003</v>
      </c>
      <c r="AI36" s="215">
        <f>SUMIFS('FY13-23 Full Data'!$AL33:$FA33,'FY13-23 Full Data'!$AL$2:$FA$2,'New Quarterly Report'!AI$1,'FY13-23 Full Data'!$AL$3:$FA$3,'New Quarterly Report'!AI$2)</f>
        <v>17931.822720000004</v>
      </c>
      <c r="AJ36" s="215">
        <f>SUMIFS('FY13-23 Full Data'!$AL33:$FA33,'FY13-23 Full Data'!$AL$2:$FA$2,'New Quarterly Report'!AJ$1,'FY13-23 Full Data'!$AL$3:$FA$3,'New Quarterly Report'!AJ$2)</f>
        <v>2087.13</v>
      </c>
      <c r="AK36" s="215">
        <f>SUMIFS('FY13-23 Full Data'!$AL33:$FA33,'FY13-23 Full Data'!$AL$2:$FA$2,'New Quarterly Report'!AK$1,'FY13-23 Full Data'!$AL$3:$FA$3,'New Quarterly Report'!AK$2)</f>
        <v>2088.77</v>
      </c>
      <c r="AL36" s="215">
        <f>SUMIFS('FY13-23 Full Data'!$AL33:$FA33,'FY13-23 Full Data'!$AL$2:$FA$2,'New Quarterly Report'!AL$1,'FY13-23 Full Data'!$AL$3:$FA$3,'New Quarterly Report'!AL$2)</f>
        <v>25833.65</v>
      </c>
      <c r="AM36" s="215">
        <f>SUMIFS('FY13-23 Full Data'!$AL33:$FA33,'FY13-23 Full Data'!$AL$2:$FA$2,'New Quarterly Report'!AM$1,'FY13-23 Full Data'!$AL$3:$FA$3,'New Quarterly Report'!AM$2)</f>
        <v>34462.21</v>
      </c>
      <c r="AN36" s="215">
        <f>SUMIFS('FY13-23 Full Data'!$AL33:$FA33,'FY13-23 Full Data'!$AL$2:$FA$2,'New Quarterly Report'!AN$1,'FY13-23 Full Data'!$AL$3:$FA$3,'New Quarterly Report'!AN$2)</f>
        <v>5156</v>
      </c>
      <c r="AO36" s="215">
        <f>SUMIFS('FY13-23 Full Data'!$AL33:$FA33,'FY13-23 Full Data'!$AL$2:$FA$2,'New Quarterly Report'!AO$1,'FY13-23 Full Data'!$AL$3:$FA$3,'New Quarterly Report'!AO$2)</f>
        <v>3430</v>
      </c>
      <c r="AP36" s="215">
        <f>SUMIFS('FY13-23 Full Data'!$AL33:$FA33,'FY13-23 Full Data'!$AL$2:$FA$2,'New Quarterly Report'!AP$1,'FY13-23 Full Data'!$AL$3:$FA$3,'New Quarterly Report'!AP$2)</f>
        <v>19546</v>
      </c>
      <c r="AQ36" s="215">
        <f>SUMIFS('FY13-23 Full Data'!$AL33:$FA33,'FY13-23 Full Data'!$AL$2:$FA$2,'New Quarterly Report'!AQ$1,'FY13-23 Full Data'!$AL$3:$FA$3,'New Quarterly Report'!AQ$2)</f>
        <v>8251</v>
      </c>
    </row>
    <row r="37" spans="2:43" x14ac:dyDescent="0.25">
      <c r="B37" s="208" t="s">
        <v>176</v>
      </c>
      <c r="C37" s="208" t="s">
        <v>177</v>
      </c>
      <c r="D37" s="215">
        <f>SUMIFS('FY13-23 Full Data'!$AL34:$FA34,'FY13-23 Full Data'!$AL$2:$FA$2,'New Quarterly Report'!D$1,'FY13-23 Full Data'!$AL$3:$FA$3,'New Quarterly Report'!D$2)</f>
        <v>2363.4</v>
      </c>
      <c r="E37" s="215">
        <f>SUMIFS('FY13-23 Full Data'!$AL34:$FA34,'FY13-23 Full Data'!$AL$2:$FA$2,'New Quarterly Report'!E$1,'FY13-23 Full Data'!$AL$3:$FA$3,'New Quarterly Report'!E$2)</f>
        <v>1585.9892499999999</v>
      </c>
      <c r="F37" s="215">
        <f>SUMIFS('FY13-23 Full Data'!$AL34:$FA34,'FY13-23 Full Data'!$AL$2:$FA$2,'New Quarterly Report'!F$1,'FY13-23 Full Data'!$AL$3:$FA$3,'New Quarterly Report'!F$2)</f>
        <v>4221.5085999999992</v>
      </c>
      <c r="G37" s="215">
        <f>SUMIFS('FY13-23 Full Data'!$AL34:$FA34,'FY13-23 Full Data'!$AL$2:$FA$2,'New Quarterly Report'!G$1,'FY13-23 Full Data'!$AL$3:$FA$3,'New Quarterly Report'!G$2)</f>
        <v>2680.6374999999998</v>
      </c>
      <c r="H37" s="215">
        <f>SUMIFS('FY13-23 Full Data'!$AL34:$FA34,'FY13-23 Full Data'!$AL$2:$FA$2,'New Quarterly Report'!H$1,'FY13-23 Full Data'!$AL$3:$FA$3,'New Quarterly Report'!H$2)</f>
        <v>816.59119999999996</v>
      </c>
      <c r="I37" s="215">
        <f>SUMIFS('FY13-23 Full Data'!$AL34:$FA34,'FY13-23 Full Data'!$AL$2:$FA$2,'New Quarterly Report'!I$1,'FY13-23 Full Data'!$AL$3:$FA$3,'New Quarterly Report'!I$2)</f>
        <v>1122.90825</v>
      </c>
      <c r="J37" s="215">
        <f>SUMIFS('FY13-23 Full Data'!$AL34:$FA34,'FY13-23 Full Data'!$AL$2:$FA$2,'New Quarterly Report'!J$1,'FY13-23 Full Data'!$AL$3:$FA$3,'New Quarterly Report'!J$2)</f>
        <v>208.05128999999999</v>
      </c>
      <c r="K37" s="215">
        <f>SUMIFS('FY13-23 Full Data'!$AL34:$FA34,'FY13-23 Full Data'!$AL$2:$FA$2,'New Quarterly Report'!K$1,'FY13-23 Full Data'!$AL$3:$FA$3,'New Quarterly Report'!K$2)</f>
        <v>927.14506000000006</v>
      </c>
      <c r="L37" s="215">
        <f>SUMIFS('FY13-23 Full Data'!$AL34:$FA34,'FY13-23 Full Data'!$AL$2:$FA$2,'New Quarterly Report'!L$1,'FY13-23 Full Data'!$AL$3:$FA$3,'New Quarterly Report'!L$2)</f>
        <v>454.00686999999994</v>
      </c>
      <c r="M37" s="215">
        <f>SUMIFS('FY13-23 Full Data'!$AL34:$FA34,'FY13-23 Full Data'!$AL$2:$FA$2,'New Quarterly Report'!M$1,'FY13-23 Full Data'!$AL$3:$FA$3,'New Quarterly Report'!M$2)</f>
        <v>439.66322000000002</v>
      </c>
      <c r="N37" s="215">
        <f>SUMIFS('FY13-23 Full Data'!$AL34:$FA34,'FY13-23 Full Data'!$AL$2:$FA$2,'New Quarterly Report'!N$1,'FY13-23 Full Data'!$AL$3:$FA$3,'New Quarterly Report'!N$2)</f>
        <v>647.16593</v>
      </c>
      <c r="O37" s="215">
        <f>SUMIFS('FY13-23 Full Data'!$AL34:$FA34,'FY13-23 Full Data'!$AL$2:$FA$2,'New Quarterly Report'!O$1,'FY13-23 Full Data'!$AL$3:$FA$3,'New Quarterly Report'!O$2)</f>
        <v>5268.3780399999996</v>
      </c>
      <c r="P37" s="215">
        <f>SUMIFS('FY13-23 Full Data'!$AL34:$FA34,'FY13-23 Full Data'!$AL$2:$FA$2,'New Quarterly Report'!P$1,'FY13-23 Full Data'!$AL$3:$FA$3,'New Quarterly Report'!P$2)</f>
        <v>493.52575999999999</v>
      </c>
      <c r="Q37" s="215">
        <f>SUMIFS('FY13-23 Full Data'!$AL34:$FA34,'FY13-23 Full Data'!$AL$2:$FA$2,'New Quarterly Report'!Q$1,'FY13-23 Full Data'!$AL$3:$FA$3,'New Quarterly Report'!Q$2)</f>
        <v>664.25873999999999</v>
      </c>
      <c r="R37" s="215">
        <f>SUMIFS('FY13-23 Full Data'!$AL34:$FA34,'FY13-23 Full Data'!$AL$2:$FA$2,'New Quarterly Report'!R$1,'FY13-23 Full Data'!$AL$3:$FA$3,'New Quarterly Report'!R$2)</f>
        <v>1043.5751399999999</v>
      </c>
      <c r="S37" s="215">
        <f>SUMIFS('FY13-23 Full Data'!$AL34:$FA34,'FY13-23 Full Data'!$AL$2:$FA$2,'New Quarterly Report'!S$1,'FY13-23 Full Data'!$AL$3:$FA$3,'New Quarterly Report'!S$2)</f>
        <v>16675.89287</v>
      </c>
      <c r="T37" s="215">
        <f>SUMIFS('FY13-23 Full Data'!$AL34:$FA34,'FY13-23 Full Data'!$AL$2:$FA$2,'New Quarterly Report'!T$1,'FY13-23 Full Data'!$AL$3:$FA$3,'New Quarterly Report'!T$2)</f>
        <v>4441.0008599999992</v>
      </c>
      <c r="U37" s="215">
        <f>SUMIFS('FY13-23 Full Data'!$AL34:$FA34,'FY13-23 Full Data'!$AL$2:$FA$2,'New Quarterly Report'!U$1,'FY13-23 Full Data'!$AL$3:$FA$3,'New Quarterly Report'!U$2)</f>
        <v>520.25481999999988</v>
      </c>
      <c r="V37" s="215">
        <f>SUMIFS('FY13-23 Full Data'!$AL34:$FA34,'FY13-23 Full Data'!$AL$2:$FA$2,'New Quarterly Report'!V$1,'FY13-23 Full Data'!$AL$3:$FA$3,'New Quarterly Report'!V$2)</f>
        <v>12327.520639999999</v>
      </c>
      <c r="W37" s="215">
        <f>SUMIFS('FY13-23 Full Data'!$AL34:$FA34,'FY13-23 Full Data'!$AL$2:$FA$2,'New Quarterly Report'!W$1,'FY13-23 Full Data'!$AL$3:$FA$3,'New Quarterly Report'!W$2)</f>
        <v>1233.00299</v>
      </c>
      <c r="X37" s="215">
        <f>SUMIFS('FY13-23 Full Data'!$AL34:$FA34,'FY13-23 Full Data'!$AL$2:$FA$2,'New Quarterly Report'!X$1,'FY13-23 Full Data'!$AL$3:$FA$3,'New Quarterly Report'!X$2)</f>
        <v>1619.25776</v>
      </c>
      <c r="Y37" s="215">
        <f>SUMIFS('FY13-23 Full Data'!$AL34:$FA34,'FY13-23 Full Data'!$AL$2:$FA$2,'New Quarterly Report'!Y$1,'FY13-23 Full Data'!$AL$3:$FA$3,'New Quarterly Report'!Y$2)</f>
        <v>548.22637000000009</v>
      </c>
      <c r="Z37" s="215">
        <f>SUMIFS('FY13-23 Full Data'!$AL34:$FA34,'FY13-23 Full Data'!$AL$2:$FA$2,'New Quarterly Report'!Z$1,'FY13-23 Full Data'!$AL$3:$FA$3,'New Quarterly Report'!Z$2)</f>
        <v>2546.6038600000002</v>
      </c>
      <c r="AA37" s="215">
        <f>SUMIFS('FY13-23 Full Data'!$AL34:$FA34,'FY13-23 Full Data'!$AL$2:$FA$2,'New Quarterly Report'!AA$1,'FY13-23 Full Data'!$AL$3:$FA$3,'New Quarterly Report'!AA$2)</f>
        <v>2639.73614</v>
      </c>
      <c r="AB37" s="215">
        <f>SUMIFS('FY13-23 Full Data'!$AL34:$FA34,'FY13-23 Full Data'!$AL$2:$FA$2,'New Quarterly Report'!AB$1,'FY13-23 Full Data'!$AL$3:$FA$3,'New Quarterly Report'!AB$2)</f>
        <v>1437.74973</v>
      </c>
      <c r="AC37" s="215">
        <f>SUMIFS('FY13-23 Full Data'!$AL34:$FA34,'FY13-23 Full Data'!$AL$2:$FA$2,'New Quarterly Report'!AC$1,'FY13-23 Full Data'!$AL$3:$FA$3,'New Quarterly Report'!AC$2)</f>
        <v>856.13549999999987</v>
      </c>
      <c r="AD37" s="215">
        <f>SUMIFS('FY13-23 Full Data'!$AL34:$FA34,'FY13-23 Full Data'!$AL$2:$FA$2,'New Quarterly Report'!AD$1,'FY13-23 Full Data'!$AL$3:$FA$3,'New Quarterly Report'!AD$2)</f>
        <v>10424.786499999998</v>
      </c>
      <c r="AE37" s="215">
        <f>SUMIFS('FY13-23 Full Data'!$AL34:$FA34,'FY13-23 Full Data'!$AL$2:$FA$2,'New Quarterly Report'!AE$1,'FY13-23 Full Data'!$AL$3:$FA$3,'New Quarterly Report'!AE$2)</f>
        <v>2194.1987799999997</v>
      </c>
      <c r="AF37" s="215">
        <f>SUMIFS('FY13-23 Full Data'!$AL34:$FA34,'FY13-23 Full Data'!$AL$2:$FA$2,'New Quarterly Report'!AF$1,'FY13-23 Full Data'!$AL$3:$FA$3,'New Quarterly Report'!AF$2)</f>
        <v>937.64864</v>
      </c>
      <c r="AG37" s="215">
        <f>SUMIFS('FY13-23 Full Data'!$AL34:$FA34,'FY13-23 Full Data'!$AL$2:$FA$2,'New Quarterly Report'!AG$1,'FY13-23 Full Data'!$AL$3:$FA$3,'New Quarterly Report'!AG$2)</f>
        <v>1370.64597</v>
      </c>
      <c r="AH37" s="215">
        <f>SUMIFS('FY13-23 Full Data'!$AL34:$FA34,'FY13-23 Full Data'!$AL$2:$FA$2,'New Quarterly Report'!AH$1,'FY13-23 Full Data'!$AL$3:$FA$3,'New Quarterly Report'!AH$2)</f>
        <v>47956.387520000004</v>
      </c>
      <c r="AI37" s="215">
        <f>SUMIFS('FY13-23 Full Data'!$AL34:$FA34,'FY13-23 Full Data'!$AL$2:$FA$2,'New Quarterly Report'!AI$1,'FY13-23 Full Data'!$AL$3:$FA$3,'New Quarterly Report'!AI$2)</f>
        <v>15711.501739999998</v>
      </c>
      <c r="AJ37" s="215">
        <f>SUMIFS('FY13-23 Full Data'!$AL34:$FA34,'FY13-23 Full Data'!$AL$2:$FA$2,'New Quarterly Report'!AJ$1,'FY13-23 Full Data'!$AL$3:$FA$3,'New Quarterly Report'!AJ$2)</f>
        <v>7966.2100000000009</v>
      </c>
      <c r="AK37" s="215">
        <f>SUMIFS('FY13-23 Full Data'!$AL34:$FA34,'FY13-23 Full Data'!$AL$2:$FA$2,'New Quarterly Report'!AK$1,'FY13-23 Full Data'!$AL$3:$FA$3,'New Quarterly Report'!AK$2)</f>
        <v>2758.8999999999996</v>
      </c>
      <c r="AL37" s="215">
        <f>SUMIFS('FY13-23 Full Data'!$AL34:$FA34,'FY13-23 Full Data'!$AL$2:$FA$2,'New Quarterly Report'!AL$1,'FY13-23 Full Data'!$AL$3:$FA$3,'New Quarterly Report'!AL$2)</f>
        <v>18440.769999999997</v>
      </c>
      <c r="AM37" s="215">
        <f>SUMIFS('FY13-23 Full Data'!$AL34:$FA34,'FY13-23 Full Data'!$AL$2:$FA$2,'New Quarterly Report'!AM$1,'FY13-23 Full Data'!$AL$3:$FA$3,'New Quarterly Report'!AM$2)</f>
        <v>14866.82</v>
      </c>
      <c r="AN37" s="215">
        <f>SUMIFS('FY13-23 Full Data'!$AL34:$FA34,'FY13-23 Full Data'!$AL$2:$FA$2,'New Quarterly Report'!AN$1,'FY13-23 Full Data'!$AL$3:$FA$3,'New Quarterly Report'!AN$2)</f>
        <v>347</v>
      </c>
      <c r="AO37" s="215">
        <f>SUMIFS('FY13-23 Full Data'!$AL34:$FA34,'FY13-23 Full Data'!$AL$2:$FA$2,'New Quarterly Report'!AO$1,'FY13-23 Full Data'!$AL$3:$FA$3,'New Quarterly Report'!AO$2)</f>
        <v>24317</v>
      </c>
      <c r="AP37" s="215">
        <f>SUMIFS('FY13-23 Full Data'!$AL34:$FA34,'FY13-23 Full Data'!$AL$2:$FA$2,'New Quarterly Report'!AP$1,'FY13-23 Full Data'!$AL$3:$FA$3,'New Quarterly Report'!AP$2)</f>
        <v>9253</v>
      </c>
      <c r="AQ37" s="215">
        <f>SUMIFS('FY13-23 Full Data'!$AL34:$FA34,'FY13-23 Full Data'!$AL$2:$FA$2,'New Quarterly Report'!AQ$1,'FY13-23 Full Data'!$AL$3:$FA$3,'New Quarterly Report'!AQ$2)</f>
        <v>2019</v>
      </c>
    </row>
    <row r="38" spans="2:43" x14ac:dyDescent="0.25">
      <c r="B38" s="208" t="s">
        <v>178</v>
      </c>
      <c r="C38" s="208" t="s">
        <v>179</v>
      </c>
      <c r="D38" s="215">
        <f>SUMIFS('FY13-23 Full Data'!$AL35:$FA35,'FY13-23 Full Data'!$AL$2:$FA$2,'New Quarterly Report'!D$1,'FY13-23 Full Data'!$AL$3:$FA$3,'New Quarterly Report'!D$2)</f>
        <v>150</v>
      </c>
      <c r="E38" s="215">
        <f>SUMIFS('FY13-23 Full Data'!$AL35:$FA35,'FY13-23 Full Data'!$AL$2:$FA$2,'New Quarterly Report'!E$1,'FY13-23 Full Data'!$AL$3:$FA$3,'New Quarterly Report'!E$2)</f>
        <v>190.83</v>
      </c>
      <c r="F38" s="215">
        <f>SUMIFS('FY13-23 Full Data'!$AL35:$FA35,'FY13-23 Full Data'!$AL$2:$FA$2,'New Quarterly Report'!F$1,'FY13-23 Full Data'!$AL$3:$FA$3,'New Quarterly Report'!F$2)</f>
        <v>375.87</v>
      </c>
      <c r="G38" s="215">
        <f>SUMIFS('FY13-23 Full Data'!$AL35:$FA35,'FY13-23 Full Data'!$AL$2:$FA$2,'New Quarterly Report'!G$1,'FY13-23 Full Data'!$AL$3:$FA$3,'New Quarterly Report'!G$2)</f>
        <v>2298.3090000000002</v>
      </c>
      <c r="H38" s="215">
        <f>SUMIFS('FY13-23 Full Data'!$AL35:$FA35,'FY13-23 Full Data'!$AL$2:$FA$2,'New Quarterly Report'!H$1,'FY13-23 Full Data'!$AL$3:$FA$3,'New Quarterly Report'!H$2)</f>
        <v>369.37400000000002</v>
      </c>
      <c r="I38" s="215">
        <f>SUMIFS('FY13-23 Full Data'!$AL35:$FA35,'FY13-23 Full Data'!$AL$2:$FA$2,'New Quarterly Report'!I$1,'FY13-23 Full Data'!$AL$3:$FA$3,'New Quarterly Report'!I$2)</f>
        <v>150</v>
      </c>
      <c r="J38" s="215">
        <f>SUMIFS('FY13-23 Full Data'!$AL35:$FA35,'FY13-23 Full Data'!$AL$2:$FA$2,'New Quarterly Report'!J$1,'FY13-23 Full Data'!$AL$3:$FA$3,'New Quarterly Report'!J$2)</f>
        <v>2448.3325999999997</v>
      </c>
      <c r="K38" s="215">
        <f>SUMIFS('FY13-23 Full Data'!$AL35:$FA35,'FY13-23 Full Data'!$AL$2:$FA$2,'New Quarterly Report'!K$1,'FY13-23 Full Data'!$AL$3:$FA$3,'New Quarterly Report'!K$2)</f>
        <v>150</v>
      </c>
      <c r="L38" s="215">
        <f>SUMIFS('FY13-23 Full Data'!$AL35:$FA35,'FY13-23 Full Data'!$AL$2:$FA$2,'New Quarterly Report'!L$1,'FY13-23 Full Data'!$AL$3:$FA$3,'New Quarterly Report'!L$2)</f>
        <v>62.7</v>
      </c>
      <c r="M38" s="215">
        <f>SUMIFS('FY13-23 Full Data'!$AL35:$FA35,'FY13-23 Full Data'!$AL$2:$FA$2,'New Quarterly Report'!M$1,'FY13-23 Full Data'!$AL$3:$FA$3,'New Quarterly Report'!M$2)</f>
        <v>184.5</v>
      </c>
      <c r="N38" s="215">
        <f>SUMIFS('FY13-23 Full Data'!$AL35:$FA35,'FY13-23 Full Data'!$AL$2:$FA$2,'New Quarterly Report'!N$1,'FY13-23 Full Data'!$AL$3:$FA$3,'New Quarterly Report'!N$2)</f>
        <v>3450.0452</v>
      </c>
      <c r="O38" s="215">
        <f>SUMIFS('FY13-23 Full Data'!$AL35:$FA35,'FY13-23 Full Data'!$AL$2:$FA$2,'New Quarterly Report'!O$1,'FY13-23 Full Data'!$AL$3:$FA$3,'New Quarterly Report'!O$2)</f>
        <v>4156.2152000000006</v>
      </c>
      <c r="P38" s="215">
        <f>SUMIFS('FY13-23 Full Data'!$AL35:$FA35,'FY13-23 Full Data'!$AL$2:$FA$2,'New Quarterly Report'!P$1,'FY13-23 Full Data'!$AL$3:$FA$3,'New Quarterly Report'!P$2)</f>
        <v>285</v>
      </c>
      <c r="Q38" s="215">
        <f>SUMIFS('FY13-23 Full Data'!$AL35:$FA35,'FY13-23 Full Data'!$AL$2:$FA$2,'New Quarterly Report'!Q$1,'FY13-23 Full Data'!$AL$3:$FA$3,'New Quarterly Report'!Q$2)</f>
        <v>150</v>
      </c>
      <c r="R38" s="215">
        <f>SUMIFS('FY13-23 Full Data'!$AL35:$FA35,'FY13-23 Full Data'!$AL$2:$FA$2,'New Quarterly Report'!R$1,'FY13-23 Full Data'!$AL$3:$FA$3,'New Quarterly Report'!R$2)</f>
        <v>8780.8955999999998</v>
      </c>
      <c r="S38" s="215">
        <f>SUMIFS('FY13-23 Full Data'!$AL35:$FA35,'FY13-23 Full Data'!$AL$2:$FA$2,'New Quarterly Report'!S$1,'FY13-23 Full Data'!$AL$3:$FA$3,'New Quarterly Report'!S$2)</f>
        <v>3117.5</v>
      </c>
      <c r="T38" s="215">
        <f>SUMIFS('FY13-23 Full Data'!$AL35:$FA35,'FY13-23 Full Data'!$AL$2:$FA$2,'New Quarterly Report'!T$1,'FY13-23 Full Data'!$AL$3:$FA$3,'New Quarterly Report'!T$2)</f>
        <v>300</v>
      </c>
      <c r="U38" s="215">
        <f>SUMIFS('FY13-23 Full Data'!$AL35:$FA35,'FY13-23 Full Data'!$AL$2:$FA$2,'New Quarterly Report'!U$1,'FY13-23 Full Data'!$AL$3:$FA$3,'New Quarterly Report'!U$2)</f>
        <v>0</v>
      </c>
      <c r="V38" s="215">
        <f>SUMIFS('FY13-23 Full Data'!$AL35:$FA35,'FY13-23 Full Data'!$AL$2:$FA$2,'New Quarterly Report'!V$1,'FY13-23 Full Data'!$AL$3:$FA$3,'New Quarterly Report'!V$2)</f>
        <v>2740.8</v>
      </c>
      <c r="W38" s="215">
        <f>SUMIFS('FY13-23 Full Data'!$AL35:$FA35,'FY13-23 Full Data'!$AL$2:$FA$2,'New Quarterly Report'!W$1,'FY13-23 Full Data'!$AL$3:$FA$3,'New Quarterly Report'!W$2)</f>
        <v>0</v>
      </c>
      <c r="X38" s="215">
        <f>SUMIFS('FY13-23 Full Data'!$AL35:$FA35,'FY13-23 Full Data'!$AL$2:$FA$2,'New Quarterly Report'!X$1,'FY13-23 Full Data'!$AL$3:$FA$3,'New Quarterly Report'!X$2)</f>
        <v>0</v>
      </c>
      <c r="Y38" s="215">
        <f>SUMIFS('FY13-23 Full Data'!$AL35:$FA35,'FY13-23 Full Data'!$AL$2:$FA$2,'New Quarterly Report'!Y$1,'FY13-23 Full Data'!$AL$3:$FA$3,'New Quarterly Report'!Y$2)</f>
        <v>0</v>
      </c>
      <c r="Z38" s="215">
        <f>SUMIFS('FY13-23 Full Data'!$AL35:$FA35,'FY13-23 Full Data'!$AL$2:$FA$2,'New Quarterly Report'!Z$1,'FY13-23 Full Data'!$AL$3:$FA$3,'New Quarterly Report'!Z$2)</f>
        <v>104.1</v>
      </c>
      <c r="AA38" s="215">
        <f>SUMIFS('FY13-23 Full Data'!$AL35:$FA35,'FY13-23 Full Data'!$AL$2:$FA$2,'New Quarterly Report'!AA$1,'FY13-23 Full Data'!$AL$3:$FA$3,'New Quarterly Report'!AA$2)</f>
        <v>1859.19</v>
      </c>
      <c r="AB38" s="215">
        <f>SUMIFS('FY13-23 Full Data'!$AL35:$FA35,'FY13-23 Full Data'!$AL$2:$FA$2,'New Quarterly Report'!AB$1,'FY13-23 Full Data'!$AL$3:$FA$3,'New Quarterly Report'!AB$2)</f>
        <v>0</v>
      </c>
      <c r="AC38" s="215">
        <f>SUMIFS('FY13-23 Full Data'!$AL35:$FA35,'FY13-23 Full Data'!$AL$2:$FA$2,'New Quarterly Report'!AC$1,'FY13-23 Full Data'!$AL$3:$FA$3,'New Quarterly Report'!AC$2)</f>
        <v>0</v>
      </c>
      <c r="AD38" s="215">
        <f>SUMIFS('FY13-23 Full Data'!$AL35:$FA35,'FY13-23 Full Data'!$AL$2:$FA$2,'New Quarterly Report'!AD$1,'FY13-23 Full Data'!$AL$3:$FA$3,'New Quarterly Report'!AD$2)</f>
        <v>1490.1</v>
      </c>
      <c r="AE38" s="215">
        <f>SUMIFS('FY13-23 Full Data'!$AL35:$FA35,'FY13-23 Full Data'!$AL$2:$FA$2,'New Quarterly Report'!AE$1,'FY13-23 Full Data'!$AL$3:$FA$3,'New Quarterly Report'!AE$2)</f>
        <v>518.5</v>
      </c>
      <c r="AF38" s="215">
        <f>SUMIFS('FY13-23 Full Data'!$AL35:$FA35,'FY13-23 Full Data'!$AL$2:$FA$2,'New Quarterly Report'!AF$1,'FY13-23 Full Data'!$AL$3:$FA$3,'New Quarterly Report'!AF$2)</f>
        <v>0</v>
      </c>
      <c r="AG38" s="215">
        <f>SUMIFS('FY13-23 Full Data'!$AL35:$FA35,'FY13-23 Full Data'!$AL$2:$FA$2,'New Quarterly Report'!AG$1,'FY13-23 Full Data'!$AL$3:$FA$3,'New Quarterly Report'!AG$2)</f>
        <v>374.90836000000002</v>
      </c>
      <c r="AH38" s="215">
        <f>SUMIFS('FY13-23 Full Data'!$AL35:$FA35,'FY13-23 Full Data'!$AL$2:$FA$2,'New Quarterly Report'!AH$1,'FY13-23 Full Data'!$AL$3:$FA$3,'New Quarterly Report'!AH$2)</f>
        <v>26680.25</v>
      </c>
      <c r="AI38" s="215">
        <f>SUMIFS('FY13-23 Full Data'!$AL35:$FA35,'FY13-23 Full Data'!$AL$2:$FA$2,'New Quarterly Report'!AI$1,'FY13-23 Full Data'!$AL$3:$FA$3,'New Quarterly Report'!AI$2)</f>
        <v>8909.0614800000003</v>
      </c>
      <c r="AJ38" s="215">
        <f>SUMIFS('FY13-23 Full Data'!$AL35:$FA35,'FY13-23 Full Data'!$AL$2:$FA$2,'New Quarterly Report'!AJ$1,'FY13-23 Full Data'!$AL$3:$FA$3,'New Quarterly Report'!AJ$2)</f>
        <v>1491</v>
      </c>
      <c r="AK38" s="215">
        <f>SUMIFS('FY13-23 Full Data'!$AL35:$FA35,'FY13-23 Full Data'!$AL$2:$FA$2,'New Quarterly Report'!AK$1,'FY13-23 Full Data'!$AL$3:$FA$3,'New Quarterly Report'!AK$2)</f>
        <v>19102</v>
      </c>
      <c r="AL38" s="215">
        <f>SUMIFS('FY13-23 Full Data'!$AL35:$FA35,'FY13-23 Full Data'!$AL$2:$FA$2,'New Quarterly Report'!AL$1,'FY13-23 Full Data'!$AL$3:$FA$3,'New Quarterly Report'!AL$2)</f>
        <v>25557</v>
      </c>
      <c r="AM38" s="215">
        <f>SUMIFS('FY13-23 Full Data'!$AL35:$FA35,'FY13-23 Full Data'!$AL$2:$FA$2,'New Quarterly Report'!AM$1,'FY13-23 Full Data'!$AL$3:$FA$3,'New Quarterly Report'!AM$2)</f>
        <v>5496</v>
      </c>
      <c r="AN38" s="215">
        <f>SUMIFS('FY13-23 Full Data'!$AL35:$FA35,'FY13-23 Full Data'!$AL$2:$FA$2,'New Quarterly Report'!AN$1,'FY13-23 Full Data'!$AL$3:$FA$3,'New Quarterly Report'!AN$2)</f>
        <v>0</v>
      </c>
      <c r="AO38" s="215">
        <f>SUMIFS('FY13-23 Full Data'!$AL35:$FA35,'FY13-23 Full Data'!$AL$2:$FA$2,'New Quarterly Report'!AO$1,'FY13-23 Full Data'!$AL$3:$FA$3,'New Quarterly Report'!AO$2)</f>
        <v>8744</v>
      </c>
      <c r="AP38" s="215">
        <f>SUMIFS('FY13-23 Full Data'!$AL35:$FA35,'FY13-23 Full Data'!$AL$2:$FA$2,'New Quarterly Report'!AP$1,'FY13-23 Full Data'!$AL$3:$FA$3,'New Quarterly Report'!AP$2)</f>
        <v>2713</v>
      </c>
      <c r="AQ38" s="215">
        <f>SUMIFS('FY13-23 Full Data'!$AL35:$FA35,'FY13-23 Full Data'!$AL$2:$FA$2,'New Quarterly Report'!AQ$1,'FY13-23 Full Data'!$AL$3:$FA$3,'New Quarterly Report'!AQ$2)</f>
        <v>11716</v>
      </c>
    </row>
    <row r="39" spans="2:43" x14ac:dyDescent="0.25">
      <c r="B39" s="208" t="s">
        <v>180</v>
      </c>
      <c r="C39" s="208" t="s">
        <v>181</v>
      </c>
      <c r="D39" s="215">
        <f>SUMIFS('FY13-23 Full Data'!$AL36:$FA36,'FY13-23 Full Data'!$AL$2:$FA$2,'New Quarterly Report'!D$1,'FY13-23 Full Data'!$AL$3:$FA$3,'New Quarterly Report'!D$2)</f>
        <v>0</v>
      </c>
      <c r="E39" s="215">
        <f>SUMIFS('FY13-23 Full Data'!$AL36:$FA36,'FY13-23 Full Data'!$AL$2:$FA$2,'New Quarterly Report'!E$1,'FY13-23 Full Data'!$AL$3:$FA$3,'New Quarterly Report'!E$2)</f>
        <v>0</v>
      </c>
      <c r="F39" s="215">
        <f>SUMIFS('FY13-23 Full Data'!$AL36:$FA36,'FY13-23 Full Data'!$AL$2:$FA$2,'New Quarterly Report'!F$1,'FY13-23 Full Data'!$AL$3:$FA$3,'New Quarterly Report'!F$2)</f>
        <v>0</v>
      </c>
      <c r="G39" s="215">
        <f>SUMIFS('FY13-23 Full Data'!$AL36:$FA36,'FY13-23 Full Data'!$AL$2:$FA$2,'New Quarterly Report'!G$1,'FY13-23 Full Data'!$AL$3:$FA$3,'New Quarterly Report'!G$2)</f>
        <v>0</v>
      </c>
      <c r="H39" s="215">
        <f>SUMIFS('FY13-23 Full Data'!$AL36:$FA36,'FY13-23 Full Data'!$AL$2:$FA$2,'New Quarterly Report'!H$1,'FY13-23 Full Data'!$AL$3:$FA$3,'New Quarterly Report'!H$2)</f>
        <v>0</v>
      </c>
      <c r="I39" s="215">
        <f>SUMIFS('FY13-23 Full Data'!$AL36:$FA36,'FY13-23 Full Data'!$AL$2:$FA$2,'New Quarterly Report'!I$1,'FY13-23 Full Data'!$AL$3:$FA$3,'New Quarterly Report'!I$2)</f>
        <v>0</v>
      </c>
      <c r="J39" s="215">
        <f>SUMIFS('FY13-23 Full Data'!$AL36:$FA36,'FY13-23 Full Data'!$AL$2:$FA$2,'New Quarterly Report'!J$1,'FY13-23 Full Data'!$AL$3:$FA$3,'New Quarterly Report'!J$2)</f>
        <v>0</v>
      </c>
      <c r="K39" s="215">
        <f>SUMIFS('FY13-23 Full Data'!$AL36:$FA36,'FY13-23 Full Data'!$AL$2:$FA$2,'New Quarterly Report'!K$1,'FY13-23 Full Data'!$AL$3:$FA$3,'New Quarterly Report'!K$2)</f>
        <v>0</v>
      </c>
      <c r="L39" s="215">
        <f>SUMIFS('FY13-23 Full Data'!$AL36:$FA36,'FY13-23 Full Data'!$AL$2:$FA$2,'New Quarterly Report'!L$1,'FY13-23 Full Data'!$AL$3:$FA$3,'New Quarterly Report'!L$2)</f>
        <v>0</v>
      </c>
      <c r="M39" s="215">
        <f>SUMIFS('FY13-23 Full Data'!$AL36:$FA36,'FY13-23 Full Data'!$AL$2:$FA$2,'New Quarterly Report'!M$1,'FY13-23 Full Data'!$AL$3:$FA$3,'New Quarterly Report'!M$2)</f>
        <v>0</v>
      </c>
      <c r="N39" s="215">
        <f>SUMIFS('FY13-23 Full Data'!$AL36:$FA36,'FY13-23 Full Data'!$AL$2:$FA$2,'New Quarterly Report'!N$1,'FY13-23 Full Data'!$AL$3:$FA$3,'New Quarterly Report'!N$2)</f>
        <v>0</v>
      </c>
      <c r="O39" s="215">
        <f>SUMIFS('FY13-23 Full Data'!$AL36:$FA36,'FY13-23 Full Data'!$AL$2:$FA$2,'New Quarterly Report'!O$1,'FY13-23 Full Data'!$AL$3:$FA$3,'New Quarterly Report'!O$2)</f>
        <v>0</v>
      </c>
      <c r="P39" s="215">
        <f>SUMIFS('FY13-23 Full Data'!$AL36:$FA36,'FY13-23 Full Data'!$AL$2:$FA$2,'New Quarterly Report'!P$1,'FY13-23 Full Data'!$AL$3:$FA$3,'New Quarterly Report'!P$2)</f>
        <v>0</v>
      </c>
      <c r="Q39" s="215">
        <f>SUMIFS('FY13-23 Full Data'!$AL36:$FA36,'FY13-23 Full Data'!$AL$2:$FA$2,'New Quarterly Report'!Q$1,'FY13-23 Full Data'!$AL$3:$FA$3,'New Quarterly Report'!Q$2)</f>
        <v>0</v>
      </c>
      <c r="R39" s="215">
        <f>SUMIFS('FY13-23 Full Data'!$AL36:$FA36,'FY13-23 Full Data'!$AL$2:$FA$2,'New Quarterly Report'!R$1,'FY13-23 Full Data'!$AL$3:$FA$3,'New Quarterly Report'!R$2)</f>
        <v>0</v>
      </c>
      <c r="S39" s="215">
        <f>SUMIFS('FY13-23 Full Data'!$AL36:$FA36,'FY13-23 Full Data'!$AL$2:$FA$2,'New Quarterly Report'!S$1,'FY13-23 Full Data'!$AL$3:$FA$3,'New Quarterly Report'!S$2)</f>
        <v>0</v>
      </c>
      <c r="T39" s="215">
        <f>SUMIFS('FY13-23 Full Data'!$AL36:$FA36,'FY13-23 Full Data'!$AL$2:$FA$2,'New Quarterly Report'!T$1,'FY13-23 Full Data'!$AL$3:$FA$3,'New Quarterly Report'!T$2)</f>
        <v>0</v>
      </c>
      <c r="U39" s="215">
        <f>SUMIFS('FY13-23 Full Data'!$AL36:$FA36,'FY13-23 Full Data'!$AL$2:$FA$2,'New Quarterly Report'!U$1,'FY13-23 Full Data'!$AL$3:$FA$3,'New Quarterly Report'!U$2)</f>
        <v>0</v>
      </c>
      <c r="V39" s="215">
        <f>SUMIFS('FY13-23 Full Data'!$AL36:$FA36,'FY13-23 Full Data'!$AL$2:$FA$2,'New Quarterly Report'!V$1,'FY13-23 Full Data'!$AL$3:$FA$3,'New Quarterly Report'!V$2)</f>
        <v>0</v>
      </c>
      <c r="W39" s="215">
        <f>SUMIFS('FY13-23 Full Data'!$AL36:$FA36,'FY13-23 Full Data'!$AL$2:$FA$2,'New Quarterly Report'!W$1,'FY13-23 Full Data'!$AL$3:$FA$3,'New Quarterly Report'!W$2)</f>
        <v>0</v>
      </c>
      <c r="X39" s="215">
        <f>SUMIFS('FY13-23 Full Data'!$AL36:$FA36,'FY13-23 Full Data'!$AL$2:$FA$2,'New Quarterly Report'!X$1,'FY13-23 Full Data'!$AL$3:$FA$3,'New Quarterly Report'!X$2)</f>
        <v>0</v>
      </c>
      <c r="Y39" s="215">
        <f>SUMIFS('FY13-23 Full Data'!$AL36:$FA36,'FY13-23 Full Data'!$AL$2:$FA$2,'New Quarterly Report'!Y$1,'FY13-23 Full Data'!$AL$3:$FA$3,'New Quarterly Report'!Y$2)</f>
        <v>0</v>
      </c>
      <c r="Z39" s="215">
        <f>SUMIFS('FY13-23 Full Data'!$AL36:$FA36,'FY13-23 Full Data'!$AL$2:$FA$2,'New Quarterly Report'!Z$1,'FY13-23 Full Data'!$AL$3:$FA$3,'New Quarterly Report'!Z$2)</f>
        <v>0</v>
      </c>
      <c r="AA39" s="215">
        <f>SUMIFS('FY13-23 Full Data'!$AL36:$FA36,'FY13-23 Full Data'!$AL$2:$FA$2,'New Quarterly Report'!AA$1,'FY13-23 Full Data'!$AL$3:$FA$3,'New Quarterly Report'!AA$2)</f>
        <v>0</v>
      </c>
      <c r="AB39" s="215">
        <f>SUMIFS('FY13-23 Full Data'!$AL36:$FA36,'FY13-23 Full Data'!$AL$2:$FA$2,'New Quarterly Report'!AB$1,'FY13-23 Full Data'!$AL$3:$FA$3,'New Quarterly Report'!AB$2)</f>
        <v>0</v>
      </c>
      <c r="AC39" s="215">
        <f>SUMIFS('FY13-23 Full Data'!$AL36:$FA36,'FY13-23 Full Data'!$AL$2:$FA$2,'New Quarterly Report'!AC$1,'FY13-23 Full Data'!$AL$3:$FA$3,'New Quarterly Report'!AC$2)</f>
        <v>0</v>
      </c>
      <c r="AD39" s="215">
        <f>SUMIFS('FY13-23 Full Data'!$AL36:$FA36,'FY13-23 Full Data'!$AL$2:$FA$2,'New Quarterly Report'!AD$1,'FY13-23 Full Data'!$AL$3:$FA$3,'New Quarterly Report'!AD$2)</f>
        <v>0</v>
      </c>
      <c r="AE39" s="215">
        <f>SUMIFS('FY13-23 Full Data'!$AL36:$FA36,'FY13-23 Full Data'!$AL$2:$FA$2,'New Quarterly Report'!AE$1,'FY13-23 Full Data'!$AL$3:$FA$3,'New Quarterly Report'!AE$2)</f>
        <v>0</v>
      </c>
      <c r="AF39" s="215">
        <f>SUMIFS('FY13-23 Full Data'!$AL36:$FA36,'FY13-23 Full Data'!$AL$2:$FA$2,'New Quarterly Report'!AF$1,'FY13-23 Full Data'!$AL$3:$FA$3,'New Quarterly Report'!AF$2)</f>
        <v>0</v>
      </c>
      <c r="AG39" s="215">
        <f>SUMIFS('FY13-23 Full Data'!$AL36:$FA36,'FY13-23 Full Data'!$AL$2:$FA$2,'New Quarterly Report'!AG$1,'FY13-23 Full Data'!$AL$3:$FA$3,'New Quarterly Report'!AG$2)</f>
        <v>0</v>
      </c>
      <c r="AH39" s="215">
        <f>SUMIFS('FY13-23 Full Data'!$AL36:$FA36,'FY13-23 Full Data'!$AL$2:$FA$2,'New Quarterly Report'!AH$1,'FY13-23 Full Data'!$AL$3:$FA$3,'New Quarterly Report'!AH$2)</f>
        <v>0</v>
      </c>
      <c r="AI39" s="215">
        <f>SUMIFS('FY13-23 Full Data'!$AL36:$FA36,'FY13-23 Full Data'!$AL$2:$FA$2,'New Quarterly Report'!AI$1,'FY13-23 Full Data'!$AL$3:$FA$3,'New Quarterly Report'!AI$2)</f>
        <v>0</v>
      </c>
      <c r="AJ39" s="215">
        <f>SUMIFS('FY13-23 Full Data'!$AL36:$FA36,'FY13-23 Full Data'!$AL$2:$FA$2,'New Quarterly Report'!AJ$1,'FY13-23 Full Data'!$AL$3:$FA$3,'New Quarterly Report'!AJ$2)</f>
        <v>985.43</v>
      </c>
      <c r="AK39" s="215">
        <f>SUMIFS('FY13-23 Full Data'!$AL36:$FA36,'FY13-23 Full Data'!$AL$2:$FA$2,'New Quarterly Report'!AK$1,'FY13-23 Full Data'!$AL$3:$FA$3,'New Quarterly Report'!AK$2)</f>
        <v>404.46</v>
      </c>
      <c r="AL39" s="215">
        <f>SUMIFS('FY13-23 Full Data'!$AL36:$FA36,'FY13-23 Full Data'!$AL$2:$FA$2,'New Quarterly Report'!AL$1,'FY13-23 Full Data'!$AL$3:$FA$3,'New Quarterly Report'!AL$2)</f>
        <v>2528.02</v>
      </c>
      <c r="AM39" s="215">
        <f>SUMIFS('FY13-23 Full Data'!$AL36:$FA36,'FY13-23 Full Data'!$AL$2:$FA$2,'New Quarterly Report'!AM$1,'FY13-23 Full Data'!$AL$3:$FA$3,'New Quarterly Report'!AM$2)</f>
        <v>3158.74</v>
      </c>
      <c r="AN39" s="215">
        <f>SUMIFS('FY13-23 Full Data'!$AL36:$FA36,'FY13-23 Full Data'!$AL$2:$FA$2,'New Quarterly Report'!AN$1,'FY13-23 Full Data'!$AL$3:$FA$3,'New Quarterly Report'!AN$2)</f>
        <v>919</v>
      </c>
      <c r="AO39" s="215">
        <f>SUMIFS('FY13-23 Full Data'!$AL36:$FA36,'FY13-23 Full Data'!$AL$2:$FA$2,'New Quarterly Report'!AO$1,'FY13-23 Full Data'!$AL$3:$FA$3,'New Quarterly Report'!AO$2)</f>
        <v>7452</v>
      </c>
      <c r="AP39" s="215">
        <f>SUMIFS('FY13-23 Full Data'!$AL36:$FA36,'FY13-23 Full Data'!$AL$2:$FA$2,'New Quarterly Report'!AP$1,'FY13-23 Full Data'!$AL$3:$FA$3,'New Quarterly Report'!AP$2)</f>
        <v>1202</v>
      </c>
      <c r="AQ39" s="215">
        <f>SUMIFS('FY13-23 Full Data'!$AL36:$FA36,'FY13-23 Full Data'!$AL$2:$FA$2,'New Quarterly Report'!AQ$1,'FY13-23 Full Data'!$AL$3:$FA$3,'New Quarterly Report'!AQ$2)</f>
        <v>5595</v>
      </c>
    </row>
  </sheetData>
  <conditionalFormatting sqref="B8:AQ39">
    <cfRule type="expression" dxfId="101" priority="1">
      <formula>MOD(ROW(),2)</formula>
    </cfRule>
  </conditionalFormatting>
  <pageMargins left="0.7" right="0.7" top="0.75" bottom="0.75" header="0.3" footer="0.3"/>
  <pageSetup paperSize="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B37D-22D4-441D-9FD4-848AEF686A07}">
  <dimension ref="A2:FA124"/>
  <sheetViews>
    <sheetView topLeftCell="AJ1" zoomScaleNormal="100" workbookViewId="0">
      <pane xSplit="2" ySplit="3" topLeftCell="EB4" activePane="bottomRight" state="frozen"/>
      <selection activeCell="AJ1" sqref="AJ1"/>
      <selection pane="topRight" activeCell="AL1" sqref="AL1"/>
      <selection pane="bottomLeft" activeCell="AJ4" sqref="AJ4"/>
      <selection pane="bottomRight" activeCell="FB4" sqref="FB4"/>
    </sheetView>
  </sheetViews>
  <sheetFormatPr defaultRowHeight="15" outlineLevelCol="1" x14ac:dyDescent="0.25"/>
  <cols>
    <col min="1" max="35" width="0" hidden="1" customWidth="1" outlineLevel="1"/>
    <col min="36" max="36" width="9.140625" collapsed="1"/>
    <col min="37" max="37" width="14.140625" bestFit="1" customWidth="1"/>
  </cols>
  <sheetData>
    <row r="2" spans="2:157" x14ac:dyDescent="0.25">
      <c r="AK2" t="s">
        <v>208</v>
      </c>
      <c r="AL2">
        <v>14</v>
      </c>
      <c r="AM2">
        <f>AL2</f>
        <v>14</v>
      </c>
      <c r="AN2">
        <f>AM2</f>
        <v>14</v>
      </c>
      <c r="AO2">
        <f>AN2</f>
        <v>14</v>
      </c>
      <c r="AP2">
        <f t="shared" ref="AP2:AU2" si="0">AO2</f>
        <v>14</v>
      </c>
      <c r="AQ2">
        <f t="shared" si="0"/>
        <v>14</v>
      </c>
      <c r="AR2">
        <f t="shared" si="0"/>
        <v>14</v>
      </c>
      <c r="AS2">
        <f t="shared" si="0"/>
        <v>14</v>
      </c>
      <c r="AT2">
        <f t="shared" si="0"/>
        <v>14</v>
      </c>
      <c r="AU2">
        <f t="shared" si="0"/>
        <v>14</v>
      </c>
      <c r="AV2">
        <f t="shared" ref="AV2:AW2" si="1">AU2</f>
        <v>14</v>
      </c>
      <c r="AW2">
        <f t="shared" si="1"/>
        <v>14</v>
      </c>
      <c r="AX2">
        <f>AL2+1</f>
        <v>15</v>
      </c>
      <c r="AY2">
        <f t="shared" ref="AY2:DJ2" si="2">AM2+1</f>
        <v>15</v>
      </c>
      <c r="AZ2">
        <f t="shared" si="2"/>
        <v>15</v>
      </c>
      <c r="BA2">
        <f t="shared" si="2"/>
        <v>15</v>
      </c>
      <c r="BB2">
        <f t="shared" si="2"/>
        <v>15</v>
      </c>
      <c r="BC2">
        <f t="shared" si="2"/>
        <v>15</v>
      </c>
      <c r="BD2">
        <f t="shared" si="2"/>
        <v>15</v>
      </c>
      <c r="BE2">
        <f t="shared" si="2"/>
        <v>15</v>
      </c>
      <c r="BF2">
        <f t="shared" si="2"/>
        <v>15</v>
      </c>
      <c r="BG2">
        <f t="shared" si="2"/>
        <v>15</v>
      </c>
      <c r="BH2">
        <f t="shared" si="2"/>
        <v>15</v>
      </c>
      <c r="BI2">
        <f t="shared" si="2"/>
        <v>15</v>
      </c>
      <c r="BJ2">
        <f t="shared" si="2"/>
        <v>16</v>
      </c>
      <c r="BK2">
        <f t="shared" si="2"/>
        <v>16</v>
      </c>
      <c r="BL2">
        <f t="shared" si="2"/>
        <v>16</v>
      </c>
      <c r="BM2">
        <f t="shared" si="2"/>
        <v>16</v>
      </c>
      <c r="BN2">
        <f t="shared" si="2"/>
        <v>16</v>
      </c>
      <c r="BO2">
        <f t="shared" si="2"/>
        <v>16</v>
      </c>
      <c r="BP2">
        <f t="shared" si="2"/>
        <v>16</v>
      </c>
      <c r="BQ2">
        <f t="shared" si="2"/>
        <v>16</v>
      </c>
      <c r="BR2">
        <f t="shared" si="2"/>
        <v>16</v>
      </c>
      <c r="BS2">
        <f t="shared" si="2"/>
        <v>16</v>
      </c>
      <c r="BT2">
        <f t="shared" si="2"/>
        <v>16</v>
      </c>
      <c r="BU2">
        <f t="shared" si="2"/>
        <v>16</v>
      </c>
      <c r="BV2">
        <f t="shared" si="2"/>
        <v>17</v>
      </c>
      <c r="BW2">
        <f t="shared" si="2"/>
        <v>17</v>
      </c>
      <c r="BX2">
        <f t="shared" si="2"/>
        <v>17</v>
      </c>
      <c r="BY2">
        <f t="shared" si="2"/>
        <v>17</v>
      </c>
      <c r="BZ2">
        <f t="shared" si="2"/>
        <v>17</v>
      </c>
      <c r="CA2">
        <f t="shared" si="2"/>
        <v>17</v>
      </c>
      <c r="CB2">
        <f t="shared" si="2"/>
        <v>17</v>
      </c>
      <c r="CC2">
        <f t="shared" si="2"/>
        <v>17</v>
      </c>
      <c r="CD2">
        <f t="shared" si="2"/>
        <v>17</v>
      </c>
      <c r="CE2">
        <f t="shared" si="2"/>
        <v>17</v>
      </c>
      <c r="CF2">
        <f t="shared" si="2"/>
        <v>17</v>
      </c>
      <c r="CG2">
        <f t="shared" si="2"/>
        <v>17</v>
      </c>
      <c r="CH2">
        <f t="shared" si="2"/>
        <v>18</v>
      </c>
      <c r="CI2">
        <f t="shared" si="2"/>
        <v>18</v>
      </c>
      <c r="CJ2">
        <f t="shared" si="2"/>
        <v>18</v>
      </c>
      <c r="CK2">
        <f t="shared" si="2"/>
        <v>18</v>
      </c>
      <c r="CL2">
        <f t="shared" si="2"/>
        <v>18</v>
      </c>
      <c r="CM2">
        <f t="shared" si="2"/>
        <v>18</v>
      </c>
      <c r="CN2">
        <f t="shared" si="2"/>
        <v>18</v>
      </c>
      <c r="CO2">
        <f t="shared" si="2"/>
        <v>18</v>
      </c>
      <c r="CP2">
        <f t="shared" si="2"/>
        <v>18</v>
      </c>
      <c r="CQ2">
        <f t="shared" si="2"/>
        <v>18</v>
      </c>
      <c r="CR2">
        <f t="shared" si="2"/>
        <v>18</v>
      </c>
      <c r="CS2">
        <f t="shared" si="2"/>
        <v>18</v>
      </c>
      <c r="CT2">
        <f t="shared" si="2"/>
        <v>19</v>
      </c>
      <c r="CU2">
        <f t="shared" si="2"/>
        <v>19</v>
      </c>
      <c r="CV2">
        <f t="shared" si="2"/>
        <v>19</v>
      </c>
      <c r="CW2">
        <f t="shared" si="2"/>
        <v>19</v>
      </c>
      <c r="CX2">
        <f t="shared" si="2"/>
        <v>19</v>
      </c>
      <c r="CY2">
        <f t="shared" si="2"/>
        <v>19</v>
      </c>
      <c r="CZ2">
        <f t="shared" si="2"/>
        <v>19</v>
      </c>
      <c r="DA2">
        <f t="shared" si="2"/>
        <v>19</v>
      </c>
      <c r="DB2">
        <f t="shared" si="2"/>
        <v>19</v>
      </c>
      <c r="DC2">
        <f t="shared" si="2"/>
        <v>19</v>
      </c>
      <c r="DD2">
        <f t="shared" si="2"/>
        <v>19</v>
      </c>
      <c r="DE2">
        <f t="shared" si="2"/>
        <v>19</v>
      </c>
      <c r="DF2">
        <f t="shared" si="2"/>
        <v>20</v>
      </c>
      <c r="DG2">
        <f t="shared" si="2"/>
        <v>20</v>
      </c>
      <c r="DH2">
        <f t="shared" si="2"/>
        <v>20</v>
      </c>
      <c r="DI2">
        <f t="shared" si="2"/>
        <v>20</v>
      </c>
      <c r="DJ2">
        <f t="shared" si="2"/>
        <v>20</v>
      </c>
      <c r="DK2">
        <f t="shared" ref="DK2:EZ2" si="3">CY2+1</f>
        <v>20</v>
      </c>
      <c r="DL2">
        <f t="shared" si="3"/>
        <v>20</v>
      </c>
      <c r="DM2">
        <f t="shared" si="3"/>
        <v>20</v>
      </c>
      <c r="DN2">
        <f t="shared" si="3"/>
        <v>20</v>
      </c>
      <c r="DO2">
        <f t="shared" si="3"/>
        <v>20</v>
      </c>
      <c r="DP2">
        <f t="shared" si="3"/>
        <v>20</v>
      </c>
      <c r="DQ2">
        <f t="shared" si="3"/>
        <v>20</v>
      </c>
      <c r="DR2">
        <f t="shared" si="3"/>
        <v>21</v>
      </c>
      <c r="DS2">
        <f t="shared" si="3"/>
        <v>21</v>
      </c>
      <c r="DT2">
        <f t="shared" si="3"/>
        <v>21</v>
      </c>
      <c r="DU2">
        <f t="shared" si="3"/>
        <v>21</v>
      </c>
      <c r="DV2">
        <f t="shared" si="3"/>
        <v>21</v>
      </c>
      <c r="DW2">
        <f t="shared" si="3"/>
        <v>21</v>
      </c>
      <c r="DX2">
        <f t="shared" si="3"/>
        <v>21</v>
      </c>
      <c r="DY2">
        <f t="shared" si="3"/>
        <v>21</v>
      </c>
      <c r="DZ2">
        <f t="shared" si="3"/>
        <v>21</v>
      </c>
      <c r="EA2">
        <f t="shared" si="3"/>
        <v>21</v>
      </c>
      <c r="EB2">
        <f t="shared" si="3"/>
        <v>21</v>
      </c>
      <c r="EC2">
        <f t="shared" si="3"/>
        <v>21</v>
      </c>
      <c r="ED2">
        <f t="shared" si="3"/>
        <v>22</v>
      </c>
      <c r="EE2">
        <f t="shared" si="3"/>
        <v>22</v>
      </c>
      <c r="EF2">
        <f t="shared" si="3"/>
        <v>22</v>
      </c>
      <c r="EG2">
        <f t="shared" si="3"/>
        <v>22</v>
      </c>
      <c r="EH2">
        <f t="shared" si="3"/>
        <v>22</v>
      </c>
      <c r="EI2">
        <f t="shared" si="3"/>
        <v>22</v>
      </c>
      <c r="EJ2">
        <f t="shared" si="3"/>
        <v>22</v>
      </c>
      <c r="EK2">
        <f t="shared" si="3"/>
        <v>22</v>
      </c>
      <c r="EL2">
        <f t="shared" si="3"/>
        <v>22</v>
      </c>
      <c r="EM2">
        <f t="shared" si="3"/>
        <v>22</v>
      </c>
      <c r="EN2">
        <f t="shared" si="3"/>
        <v>22</v>
      </c>
      <c r="EO2">
        <f t="shared" si="3"/>
        <v>22</v>
      </c>
      <c r="EP2">
        <f t="shared" si="3"/>
        <v>23</v>
      </c>
      <c r="EQ2">
        <f t="shared" si="3"/>
        <v>23</v>
      </c>
      <c r="ER2">
        <f t="shared" si="3"/>
        <v>23</v>
      </c>
      <c r="ES2">
        <f t="shared" si="3"/>
        <v>23</v>
      </c>
      <c r="ET2">
        <f t="shared" si="3"/>
        <v>23</v>
      </c>
      <c r="EU2">
        <f t="shared" si="3"/>
        <v>23</v>
      </c>
      <c r="EV2">
        <f t="shared" si="3"/>
        <v>23</v>
      </c>
      <c r="EW2">
        <f t="shared" si="3"/>
        <v>23</v>
      </c>
      <c r="EX2">
        <f t="shared" si="3"/>
        <v>23</v>
      </c>
      <c r="EY2">
        <f t="shared" si="3"/>
        <v>23</v>
      </c>
      <c r="EZ2">
        <f t="shared" si="3"/>
        <v>23</v>
      </c>
      <c r="FA2">
        <f>EO2+1</f>
        <v>23</v>
      </c>
    </row>
    <row r="3" spans="2:157" x14ac:dyDescent="0.25">
      <c r="AK3" t="s">
        <v>209</v>
      </c>
      <c r="AL3">
        <v>1</v>
      </c>
      <c r="AM3">
        <f>AL3</f>
        <v>1</v>
      </c>
      <c r="AN3">
        <f>AM3</f>
        <v>1</v>
      </c>
      <c r="AO3">
        <f>AL3+1</f>
        <v>2</v>
      </c>
      <c r="AP3">
        <f t="shared" ref="AP3:AU3" si="4">AM3+1</f>
        <v>2</v>
      </c>
      <c r="AQ3">
        <f t="shared" si="4"/>
        <v>2</v>
      </c>
      <c r="AR3">
        <f t="shared" si="4"/>
        <v>3</v>
      </c>
      <c r="AS3">
        <f t="shared" si="4"/>
        <v>3</v>
      </c>
      <c r="AT3">
        <f t="shared" si="4"/>
        <v>3</v>
      </c>
      <c r="AU3">
        <f t="shared" si="4"/>
        <v>4</v>
      </c>
      <c r="AV3">
        <f t="shared" ref="AV3" si="5">AS3+1</f>
        <v>4</v>
      </c>
      <c r="AW3">
        <f t="shared" ref="AW3" si="6">AT3+1</f>
        <v>4</v>
      </c>
      <c r="AX3">
        <f>AL3</f>
        <v>1</v>
      </c>
      <c r="AY3">
        <f t="shared" ref="AY3:DJ3" si="7">AM3</f>
        <v>1</v>
      </c>
      <c r="AZ3">
        <f t="shared" si="7"/>
        <v>1</v>
      </c>
      <c r="BA3">
        <f t="shared" si="7"/>
        <v>2</v>
      </c>
      <c r="BB3">
        <f t="shared" si="7"/>
        <v>2</v>
      </c>
      <c r="BC3">
        <f t="shared" si="7"/>
        <v>2</v>
      </c>
      <c r="BD3">
        <f t="shared" si="7"/>
        <v>3</v>
      </c>
      <c r="BE3">
        <f t="shared" si="7"/>
        <v>3</v>
      </c>
      <c r="BF3">
        <f t="shared" si="7"/>
        <v>3</v>
      </c>
      <c r="BG3">
        <f t="shared" si="7"/>
        <v>4</v>
      </c>
      <c r="BH3">
        <f t="shared" si="7"/>
        <v>4</v>
      </c>
      <c r="BI3">
        <f t="shared" si="7"/>
        <v>4</v>
      </c>
      <c r="BJ3">
        <f t="shared" si="7"/>
        <v>1</v>
      </c>
      <c r="BK3">
        <f t="shared" si="7"/>
        <v>1</v>
      </c>
      <c r="BL3">
        <f t="shared" si="7"/>
        <v>1</v>
      </c>
      <c r="BM3">
        <f t="shared" si="7"/>
        <v>2</v>
      </c>
      <c r="BN3">
        <f t="shared" si="7"/>
        <v>2</v>
      </c>
      <c r="BO3">
        <f t="shared" si="7"/>
        <v>2</v>
      </c>
      <c r="BP3">
        <f t="shared" si="7"/>
        <v>3</v>
      </c>
      <c r="BQ3">
        <f t="shared" si="7"/>
        <v>3</v>
      </c>
      <c r="BR3">
        <f t="shared" si="7"/>
        <v>3</v>
      </c>
      <c r="BS3">
        <f t="shared" si="7"/>
        <v>4</v>
      </c>
      <c r="BT3">
        <f t="shared" si="7"/>
        <v>4</v>
      </c>
      <c r="BU3">
        <f t="shared" si="7"/>
        <v>4</v>
      </c>
      <c r="BV3">
        <f t="shared" si="7"/>
        <v>1</v>
      </c>
      <c r="BW3">
        <f t="shared" si="7"/>
        <v>1</v>
      </c>
      <c r="BX3">
        <f t="shared" si="7"/>
        <v>1</v>
      </c>
      <c r="BY3">
        <f t="shared" si="7"/>
        <v>2</v>
      </c>
      <c r="BZ3">
        <f t="shared" si="7"/>
        <v>2</v>
      </c>
      <c r="CA3">
        <f t="shared" si="7"/>
        <v>2</v>
      </c>
      <c r="CB3">
        <f t="shared" si="7"/>
        <v>3</v>
      </c>
      <c r="CC3">
        <f t="shared" si="7"/>
        <v>3</v>
      </c>
      <c r="CD3">
        <f t="shared" si="7"/>
        <v>3</v>
      </c>
      <c r="CE3">
        <f t="shared" si="7"/>
        <v>4</v>
      </c>
      <c r="CF3">
        <f t="shared" si="7"/>
        <v>4</v>
      </c>
      <c r="CG3">
        <f t="shared" si="7"/>
        <v>4</v>
      </c>
      <c r="CH3">
        <f t="shared" si="7"/>
        <v>1</v>
      </c>
      <c r="CI3">
        <f t="shared" si="7"/>
        <v>1</v>
      </c>
      <c r="CJ3">
        <f t="shared" si="7"/>
        <v>1</v>
      </c>
      <c r="CK3">
        <f t="shared" si="7"/>
        <v>2</v>
      </c>
      <c r="CL3">
        <f t="shared" si="7"/>
        <v>2</v>
      </c>
      <c r="CM3">
        <f t="shared" si="7"/>
        <v>2</v>
      </c>
      <c r="CN3">
        <f t="shared" si="7"/>
        <v>3</v>
      </c>
      <c r="CO3">
        <f t="shared" si="7"/>
        <v>3</v>
      </c>
      <c r="CP3">
        <f t="shared" si="7"/>
        <v>3</v>
      </c>
      <c r="CQ3">
        <f t="shared" si="7"/>
        <v>4</v>
      </c>
      <c r="CR3">
        <f t="shared" si="7"/>
        <v>4</v>
      </c>
      <c r="CS3">
        <f t="shared" si="7"/>
        <v>4</v>
      </c>
      <c r="CT3">
        <f t="shared" si="7"/>
        <v>1</v>
      </c>
      <c r="CU3">
        <f t="shared" si="7"/>
        <v>1</v>
      </c>
      <c r="CV3">
        <f t="shared" si="7"/>
        <v>1</v>
      </c>
      <c r="CW3">
        <f t="shared" si="7"/>
        <v>2</v>
      </c>
      <c r="CX3">
        <f t="shared" si="7"/>
        <v>2</v>
      </c>
      <c r="CY3">
        <f t="shared" si="7"/>
        <v>2</v>
      </c>
      <c r="CZ3">
        <f t="shared" si="7"/>
        <v>3</v>
      </c>
      <c r="DA3">
        <f t="shared" si="7"/>
        <v>3</v>
      </c>
      <c r="DB3">
        <f t="shared" si="7"/>
        <v>3</v>
      </c>
      <c r="DC3">
        <f t="shared" si="7"/>
        <v>4</v>
      </c>
      <c r="DD3">
        <f t="shared" si="7"/>
        <v>4</v>
      </c>
      <c r="DE3">
        <f t="shared" si="7"/>
        <v>4</v>
      </c>
      <c r="DF3">
        <f t="shared" si="7"/>
        <v>1</v>
      </c>
      <c r="DG3">
        <f t="shared" si="7"/>
        <v>1</v>
      </c>
      <c r="DH3">
        <f t="shared" si="7"/>
        <v>1</v>
      </c>
      <c r="DI3">
        <f t="shared" si="7"/>
        <v>2</v>
      </c>
      <c r="DJ3">
        <f t="shared" si="7"/>
        <v>2</v>
      </c>
      <c r="DK3">
        <f t="shared" ref="DK3:EZ3" si="8">CY3</f>
        <v>2</v>
      </c>
      <c r="DL3">
        <f t="shared" si="8"/>
        <v>3</v>
      </c>
      <c r="DM3">
        <f t="shared" si="8"/>
        <v>3</v>
      </c>
      <c r="DN3">
        <f t="shared" si="8"/>
        <v>3</v>
      </c>
      <c r="DO3">
        <f t="shared" si="8"/>
        <v>4</v>
      </c>
      <c r="DP3">
        <f t="shared" si="8"/>
        <v>4</v>
      </c>
      <c r="DQ3">
        <f t="shared" si="8"/>
        <v>4</v>
      </c>
      <c r="DR3">
        <f t="shared" si="8"/>
        <v>1</v>
      </c>
      <c r="DS3">
        <f t="shared" si="8"/>
        <v>1</v>
      </c>
      <c r="DT3">
        <f t="shared" si="8"/>
        <v>1</v>
      </c>
      <c r="DU3">
        <f t="shared" si="8"/>
        <v>2</v>
      </c>
      <c r="DV3">
        <f t="shared" si="8"/>
        <v>2</v>
      </c>
      <c r="DW3">
        <f t="shared" si="8"/>
        <v>2</v>
      </c>
      <c r="DX3">
        <f t="shared" si="8"/>
        <v>3</v>
      </c>
      <c r="DY3">
        <f t="shared" si="8"/>
        <v>3</v>
      </c>
      <c r="DZ3">
        <f t="shared" si="8"/>
        <v>3</v>
      </c>
      <c r="EA3">
        <f t="shared" si="8"/>
        <v>4</v>
      </c>
      <c r="EB3">
        <f t="shared" si="8"/>
        <v>4</v>
      </c>
      <c r="EC3">
        <f t="shared" si="8"/>
        <v>4</v>
      </c>
      <c r="ED3">
        <f t="shared" si="8"/>
        <v>1</v>
      </c>
      <c r="EE3">
        <f t="shared" si="8"/>
        <v>1</v>
      </c>
      <c r="EF3">
        <f t="shared" si="8"/>
        <v>1</v>
      </c>
      <c r="EG3">
        <f t="shared" si="8"/>
        <v>2</v>
      </c>
      <c r="EH3">
        <f t="shared" si="8"/>
        <v>2</v>
      </c>
      <c r="EI3">
        <f t="shared" si="8"/>
        <v>2</v>
      </c>
      <c r="EJ3">
        <f t="shared" si="8"/>
        <v>3</v>
      </c>
      <c r="EK3">
        <f t="shared" si="8"/>
        <v>3</v>
      </c>
      <c r="EL3">
        <f t="shared" si="8"/>
        <v>3</v>
      </c>
      <c r="EM3">
        <f t="shared" si="8"/>
        <v>4</v>
      </c>
      <c r="EN3">
        <f t="shared" si="8"/>
        <v>4</v>
      </c>
      <c r="EO3">
        <f t="shared" si="8"/>
        <v>4</v>
      </c>
      <c r="EP3">
        <f t="shared" si="8"/>
        <v>1</v>
      </c>
      <c r="EQ3">
        <f t="shared" si="8"/>
        <v>1</v>
      </c>
      <c r="ER3">
        <f t="shared" si="8"/>
        <v>1</v>
      </c>
      <c r="ES3">
        <f t="shared" si="8"/>
        <v>2</v>
      </c>
      <c r="ET3">
        <f t="shared" si="8"/>
        <v>2</v>
      </c>
      <c r="EU3">
        <f t="shared" si="8"/>
        <v>2</v>
      </c>
      <c r="EV3">
        <f t="shared" si="8"/>
        <v>3</v>
      </c>
      <c r="EW3">
        <f t="shared" si="8"/>
        <v>3</v>
      </c>
      <c r="EX3">
        <f t="shared" si="8"/>
        <v>3</v>
      </c>
      <c r="EY3">
        <f t="shared" si="8"/>
        <v>4</v>
      </c>
      <c r="EZ3">
        <f t="shared" si="8"/>
        <v>4</v>
      </c>
      <c r="FA3">
        <f>EO3</f>
        <v>4</v>
      </c>
    </row>
    <row r="4" spans="2:157" x14ac:dyDescent="0.25">
      <c r="B4" s="151" t="s">
        <v>185</v>
      </c>
      <c r="C4" s="151" t="s">
        <v>115</v>
      </c>
      <c r="D4" s="151" t="s">
        <v>117</v>
      </c>
      <c r="E4" s="154" t="s">
        <v>119</v>
      </c>
      <c r="F4" s="151" t="s">
        <v>121</v>
      </c>
      <c r="G4" s="151" t="s">
        <v>123</v>
      </c>
      <c r="H4" s="151" t="s">
        <v>125</v>
      </c>
      <c r="I4" s="151" t="s">
        <v>127</v>
      </c>
      <c r="J4" s="153" t="s">
        <v>129</v>
      </c>
      <c r="K4" s="151" t="s">
        <v>131</v>
      </c>
      <c r="L4" s="153" t="s">
        <v>186</v>
      </c>
      <c r="M4" s="152" t="s">
        <v>135</v>
      </c>
      <c r="N4" s="151" t="s">
        <v>187</v>
      </c>
      <c r="O4" s="151" t="s">
        <v>139</v>
      </c>
      <c r="P4" s="151" t="s">
        <v>141</v>
      </c>
      <c r="Q4" s="151" t="s">
        <v>143</v>
      </c>
      <c r="R4" s="151" t="s">
        <v>144</v>
      </c>
      <c r="S4" s="151" t="s">
        <v>146</v>
      </c>
      <c r="T4" s="151" t="s">
        <v>148</v>
      </c>
      <c r="U4" s="151" t="s">
        <v>150</v>
      </c>
      <c r="V4" s="151" t="s">
        <v>152</v>
      </c>
      <c r="W4" s="151" t="s">
        <v>154</v>
      </c>
      <c r="X4" s="151" t="s">
        <v>188</v>
      </c>
      <c r="Y4" s="151" t="s">
        <v>158</v>
      </c>
      <c r="Z4" s="151" t="s">
        <v>160</v>
      </c>
      <c r="AA4" s="151" t="s">
        <v>162</v>
      </c>
      <c r="AB4" s="151" t="s">
        <v>164</v>
      </c>
      <c r="AC4" s="151" t="s">
        <v>166</v>
      </c>
      <c r="AD4" s="151" t="s">
        <v>189</v>
      </c>
      <c r="AE4" s="151" t="s">
        <v>190</v>
      </c>
      <c r="AF4" s="151" t="s">
        <v>174</v>
      </c>
      <c r="AG4" s="71" t="s">
        <v>176</v>
      </c>
      <c r="AH4" s="71" t="s">
        <v>178</v>
      </c>
      <c r="AI4" s="71" t="s">
        <v>180</v>
      </c>
      <c r="AK4" t="str">
        <f t="array" ref="AK4:FA37">TRANSPOSE(B4:AI124)</f>
        <v>Month</v>
      </c>
      <c r="AL4" s="125">
        <v>41456</v>
      </c>
      <c r="AM4" s="125">
        <v>41517</v>
      </c>
      <c r="AN4" s="125">
        <v>41547</v>
      </c>
      <c r="AO4" s="125">
        <v>41578</v>
      </c>
      <c r="AP4" s="125">
        <v>41608</v>
      </c>
      <c r="AQ4" s="125">
        <v>41639</v>
      </c>
      <c r="AR4" s="125">
        <v>41670</v>
      </c>
      <c r="AS4" s="125">
        <v>41698</v>
      </c>
      <c r="AT4" s="125">
        <v>41729</v>
      </c>
      <c r="AU4" s="125">
        <v>41759</v>
      </c>
      <c r="AV4" s="125">
        <v>41790</v>
      </c>
      <c r="AW4" s="125">
        <v>41820</v>
      </c>
      <c r="AX4" s="125">
        <v>41851</v>
      </c>
      <c r="AY4" s="125">
        <v>41882</v>
      </c>
      <c r="AZ4" s="125">
        <v>41912</v>
      </c>
      <c r="BA4" s="125">
        <v>41943</v>
      </c>
      <c r="BB4" s="125">
        <v>41973</v>
      </c>
      <c r="BC4" s="125">
        <v>42004</v>
      </c>
      <c r="BD4" s="125">
        <v>42035</v>
      </c>
      <c r="BE4" s="125">
        <v>42063</v>
      </c>
      <c r="BF4" s="125">
        <v>42094</v>
      </c>
      <c r="BG4" s="125">
        <v>42124</v>
      </c>
      <c r="BH4" s="125">
        <v>42155</v>
      </c>
      <c r="BI4" s="125">
        <v>42185</v>
      </c>
      <c r="BJ4" s="125">
        <v>42216</v>
      </c>
      <c r="BK4" s="125">
        <v>42247</v>
      </c>
      <c r="BL4" s="125">
        <v>42277</v>
      </c>
      <c r="BM4" s="125">
        <v>42308</v>
      </c>
      <c r="BN4" s="125">
        <v>42338</v>
      </c>
      <c r="BO4" s="125">
        <v>42369</v>
      </c>
      <c r="BP4" s="125">
        <v>42400</v>
      </c>
      <c r="BQ4" s="125">
        <v>42429</v>
      </c>
      <c r="BR4" s="125">
        <v>42460</v>
      </c>
      <c r="BS4" s="125">
        <v>42490</v>
      </c>
      <c r="BT4" s="125">
        <v>42521</v>
      </c>
      <c r="BU4" s="125">
        <v>42551</v>
      </c>
      <c r="BV4" s="125">
        <v>42582</v>
      </c>
      <c r="BW4" s="125">
        <v>42613</v>
      </c>
      <c r="BX4" s="125">
        <v>42643</v>
      </c>
      <c r="BY4" s="125">
        <v>42674</v>
      </c>
      <c r="BZ4" s="125">
        <v>42704</v>
      </c>
      <c r="CA4" s="125">
        <v>42735</v>
      </c>
      <c r="CB4" s="125">
        <v>42766</v>
      </c>
      <c r="CC4" s="125">
        <v>42794</v>
      </c>
      <c r="CD4" s="125">
        <v>42825</v>
      </c>
      <c r="CE4" s="125">
        <v>42855</v>
      </c>
      <c r="CF4" s="125">
        <v>42886</v>
      </c>
      <c r="CG4" s="125">
        <v>42916</v>
      </c>
      <c r="CH4" s="125">
        <v>42947</v>
      </c>
      <c r="CI4" s="125">
        <v>42978</v>
      </c>
      <c r="CJ4" s="125">
        <v>43008</v>
      </c>
      <c r="CK4" s="125">
        <v>43039</v>
      </c>
      <c r="CL4" s="125">
        <v>43069</v>
      </c>
      <c r="CM4" s="125">
        <v>43100</v>
      </c>
      <c r="CN4" s="125">
        <v>43131</v>
      </c>
      <c r="CO4" s="125">
        <v>43159</v>
      </c>
      <c r="CP4" s="125">
        <v>43190</v>
      </c>
      <c r="CQ4" s="125">
        <v>43220</v>
      </c>
      <c r="CR4" s="125">
        <v>43251</v>
      </c>
      <c r="CS4" s="125">
        <v>43281</v>
      </c>
      <c r="CT4" s="125">
        <v>43312</v>
      </c>
      <c r="CU4" s="125">
        <v>43343</v>
      </c>
      <c r="CV4" s="125">
        <v>43373</v>
      </c>
      <c r="CW4" s="125">
        <v>43404</v>
      </c>
      <c r="CX4" s="125">
        <v>43434</v>
      </c>
      <c r="CY4" s="125">
        <v>43465</v>
      </c>
      <c r="CZ4" s="125">
        <v>43496</v>
      </c>
      <c r="DA4" s="125">
        <v>43524</v>
      </c>
      <c r="DB4" s="125">
        <v>43555</v>
      </c>
      <c r="DC4" s="125">
        <v>43585</v>
      </c>
      <c r="DD4" s="125">
        <v>43616</v>
      </c>
      <c r="DE4" s="125">
        <v>43646</v>
      </c>
      <c r="DF4" s="125">
        <v>43677</v>
      </c>
      <c r="DG4" s="125">
        <v>43708</v>
      </c>
      <c r="DH4" s="125">
        <v>43738</v>
      </c>
      <c r="DI4" s="125">
        <v>43769</v>
      </c>
      <c r="DJ4" s="125">
        <v>43799</v>
      </c>
      <c r="DK4" s="125">
        <v>43830</v>
      </c>
      <c r="DL4" s="125">
        <v>43861</v>
      </c>
      <c r="DM4" s="125">
        <v>43890</v>
      </c>
      <c r="DN4" s="125">
        <v>43921</v>
      </c>
      <c r="DO4" s="125">
        <v>43951</v>
      </c>
      <c r="DP4" s="125">
        <v>43982</v>
      </c>
      <c r="DQ4" s="125">
        <v>44012</v>
      </c>
      <c r="DR4" s="125">
        <v>44043</v>
      </c>
      <c r="DS4" s="125">
        <v>44074</v>
      </c>
      <c r="DT4" s="125">
        <v>44104</v>
      </c>
      <c r="DU4" s="125">
        <v>44135</v>
      </c>
      <c r="DV4" s="125">
        <v>44165</v>
      </c>
      <c r="DW4" s="125">
        <v>44196</v>
      </c>
      <c r="DX4" s="125">
        <v>44227</v>
      </c>
      <c r="DY4" s="125">
        <v>44255</v>
      </c>
      <c r="DZ4" s="125">
        <v>44286</v>
      </c>
      <c r="EA4" s="125">
        <v>44316</v>
      </c>
      <c r="EB4" s="125">
        <v>44347</v>
      </c>
      <c r="EC4" s="125">
        <v>44377</v>
      </c>
      <c r="ED4" s="125">
        <v>44408</v>
      </c>
      <c r="EE4" s="125">
        <v>44439</v>
      </c>
      <c r="EF4" s="125">
        <v>44469</v>
      </c>
      <c r="EG4" s="125">
        <v>44500</v>
      </c>
      <c r="EH4" s="125">
        <v>44530</v>
      </c>
      <c r="EI4" s="125">
        <v>44561</v>
      </c>
      <c r="EJ4" s="125">
        <v>44592</v>
      </c>
      <c r="EK4" s="125">
        <v>44620</v>
      </c>
      <c r="EL4" s="125">
        <v>44651</v>
      </c>
      <c r="EM4" s="125">
        <v>44681</v>
      </c>
      <c r="EN4" s="125">
        <v>44712</v>
      </c>
      <c r="EO4" s="125">
        <v>44742</v>
      </c>
      <c r="EP4" s="125">
        <v>44773</v>
      </c>
      <c r="EQ4" s="125">
        <v>44804</v>
      </c>
      <c r="ER4" s="125">
        <v>44834</v>
      </c>
      <c r="ES4" s="125">
        <v>44865</v>
      </c>
      <c r="ET4" s="125">
        <v>44895</v>
      </c>
      <c r="EU4" s="125">
        <v>44926</v>
      </c>
      <c r="EV4" s="125">
        <v>44957</v>
      </c>
      <c r="EW4" s="125">
        <v>44985</v>
      </c>
      <c r="EX4" s="125">
        <v>45016</v>
      </c>
      <c r="EY4" s="125">
        <v>45046</v>
      </c>
      <c r="EZ4" s="125">
        <v>45077</v>
      </c>
      <c r="FA4" s="125">
        <v>45107</v>
      </c>
    </row>
    <row r="5" spans="2:157" x14ac:dyDescent="0.25">
      <c r="B5" s="125">
        <v>41456</v>
      </c>
      <c r="C5" s="91">
        <v>4104</v>
      </c>
      <c r="D5" s="91">
        <v>1741</v>
      </c>
      <c r="E5" s="91">
        <v>-46106</v>
      </c>
      <c r="F5" s="91">
        <v>2846</v>
      </c>
      <c r="G5" s="91">
        <v>18527</v>
      </c>
      <c r="H5" s="91">
        <v>9693</v>
      </c>
      <c r="I5" s="91">
        <v>88526</v>
      </c>
      <c r="J5" s="91">
        <v>6805.1</v>
      </c>
      <c r="K5" s="91">
        <v>10208</v>
      </c>
      <c r="L5" s="91">
        <v>21153</v>
      </c>
      <c r="M5" s="91">
        <v>42186</v>
      </c>
      <c r="N5" s="91">
        <v>26828</v>
      </c>
      <c r="O5" s="91">
        <v>0</v>
      </c>
      <c r="P5" s="91">
        <v>775</v>
      </c>
      <c r="Q5" s="124" t="s">
        <v>168</v>
      </c>
      <c r="R5" s="91">
        <v>6481</v>
      </c>
      <c r="S5" s="91">
        <v>13224</v>
      </c>
      <c r="T5" s="91">
        <v>19366.099999999999</v>
      </c>
      <c r="U5" s="91">
        <v>26788</v>
      </c>
      <c r="V5" s="91">
        <v>20020</v>
      </c>
      <c r="W5" s="91">
        <v>17314</v>
      </c>
      <c r="X5" s="91">
        <v>1549</v>
      </c>
      <c r="Y5" s="91">
        <v>53517.5</v>
      </c>
      <c r="Z5" s="91">
        <v>9950</v>
      </c>
      <c r="AA5" s="91">
        <v>157</v>
      </c>
      <c r="AB5" s="91">
        <v>37593</v>
      </c>
      <c r="AC5" s="91">
        <v>14146</v>
      </c>
      <c r="AD5" s="91">
        <v>43798</v>
      </c>
      <c r="AE5" s="91">
        <v>3386</v>
      </c>
      <c r="AF5" s="91">
        <v>547</v>
      </c>
      <c r="AG5" s="180">
        <v>0</v>
      </c>
      <c r="AH5" s="185"/>
      <c r="AI5" s="186"/>
      <c r="AK5" s="203" t="str">
        <v>NPK11370</v>
      </c>
      <c r="AL5">
        <v>4104</v>
      </c>
      <c r="AM5">
        <v>8462</v>
      </c>
      <c r="AN5">
        <v>12324</v>
      </c>
      <c r="AO5">
        <v>4266.9440000000004</v>
      </c>
      <c r="AP5">
        <v>1645.2972</v>
      </c>
      <c r="AQ5">
        <v>7998.8587500000003</v>
      </c>
      <c r="AR5">
        <v>11122.18</v>
      </c>
      <c r="AS5">
        <v>5730.8015999999998</v>
      </c>
      <c r="AT5">
        <v>27551.422399999999</v>
      </c>
      <c r="AU5">
        <v>6460.9148999999998</v>
      </c>
      <c r="AV5">
        <v>1801.5661</v>
      </c>
      <c r="AW5">
        <v>1191.0849000000001</v>
      </c>
      <c r="AX5">
        <v>359.04599999999999</v>
      </c>
      <c r="AY5">
        <v>4113.5851000000002</v>
      </c>
      <c r="AZ5">
        <v>5038.8822499999997</v>
      </c>
      <c r="BA5">
        <v>5846.6863000000003</v>
      </c>
      <c r="BB5">
        <v>4225.3613999999998</v>
      </c>
      <c r="BC5">
        <v>5968.1756999999998</v>
      </c>
      <c r="BD5">
        <v>7114.4306000000006</v>
      </c>
      <c r="BE5">
        <v>2009.5335</v>
      </c>
      <c r="BF5">
        <v>30915.259500000004</v>
      </c>
      <c r="BG5">
        <v>8811.4660000000003</v>
      </c>
      <c r="BH5">
        <v>443.63639999999998</v>
      </c>
      <c r="BI5">
        <v>2058.2469000000001</v>
      </c>
      <c r="BJ5">
        <v>879.33609999999999</v>
      </c>
      <c r="BK5">
        <v>4200.4375</v>
      </c>
      <c r="BL5">
        <v>6430.5978999999998</v>
      </c>
      <c r="BM5">
        <v>-3079.909200000001</v>
      </c>
      <c r="BN5">
        <v>516.86930000000007</v>
      </c>
      <c r="BO5">
        <v>84308.6783</v>
      </c>
      <c r="BP5">
        <v>232.47640000000001</v>
      </c>
      <c r="BQ5">
        <v>2460.1393499999999</v>
      </c>
      <c r="BR5">
        <v>1910.1505999999999</v>
      </c>
      <c r="BS5">
        <v>6778.9494000000013</v>
      </c>
      <c r="BT5">
        <v>40641.547200000008</v>
      </c>
      <c r="BU5">
        <v>13048.69585</v>
      </c>
      <c r="BV5">
        <v>8497.719219999999</v>
      </c>
      <c r="BW5">
        <v>2737.3335999999999</v>
      </c>
      <c r="BX5">
        <v>1259.615</v>
      </c>
      <c r="BY5">
        <v>2476.8697000000002</v>
      </c>
      <c r="BZ5">
        <v>121902.65849999999</v>
      </c>
      <c r="CA5">
        <v>30265.597999999998</v>
      </c>
      <c r="CB5">
        <v>34563.312499999993</v>
      </c>
      <c r="CC5">
        <v>151.809</v>
      </c>
      <c r="CD5">
        <v>2647.5904</v>
      </c>
      <c r="CE5">
        <v>31000.0406</v>
      </c>
      <c r="CF5">
        <v>84513.756620000015</v>
      </c>
      <c r="CG5">
        <v>69003.373640000005</v>
      </c>
      <c r="CH5">
        <v>39351.397679999995</v>
      </c>
      <c r="CI5">
        <v>3298.6179999999999</v>
      </c>
      <c r="CJ5">
        <v>703.11149999999998</v>
      </c>
      <c r="CK5">
        <v>205299.24100000001</v>
      </c>
      <c r="CL5">
        <v>54.961600000000018</v>
      </c>
      <c r="CM5">
        <v>1025.2542000000001</v>
      </c>
      <c r="CN5">
        <v>4481.7387399999998</v>
      </c>
      <c r="CO5">
        <v>59476.542440000005</v>
      </c>
      <c r="CP5">
        <v>50579.285919999995</v>
      </c>
      <c r="CQ5">
        <v>4993.6290999999992</v>
      </c>
      <c r="CR5">
        <v>692.71910000000003</v>
      </c>
      <c r="CS5">
        <v>31538.634600000001</v>
      </c>
      <c r="CT5">
        <v>8736.5953000000009</v>
      </c>
      <c r="CU5">
        <v>6563.2491</v>
      </c>
      <c r="CV5">
        <v>12050.906000000001</v>
      </c>
      <c r="CW5">
        <v>482.44600000000003</v>
      </c>
      <c r="CX5">
        <v>0</v>
      </c>
      <c r="CY5">
        <v>155.03149999999999</v>
      </c>
      <c r="CZ5">
        <v>677.44900000000007</v>
      </c>
      <c r="DA5">
        <v>3007.2725000000005</v>
      </c>
      <c r="DB5">
        <v>7689.4693000000007</v>
      </c>
      <c r="DC5">
        <v>31339.6001</v>
      </c>
      <c r="DD5">
        <v>24559</v>
      </c>
      <c r="DE5">
        <v>9535.4691999999995</v>
      </c>
      <c r="DF5">
        <v>5808.7558999999992</v>
      </c>
      <c r="DG5">
        <v>631.53710000000001</v>
      </c>
      <c r="DH5">
        <v>376.2955</v>
      </c>
      <c r="DI5">
        <v>925.66410000000019</v>
      </c>
      <c r="DJ5">
        <v>59564.077300000004</v>
      </c>
      <c r="DK5">
        <v>61746.542999999998</v>
      </c>
      <c r="DL5">
        <v>1201.3031000000001</v>
      </c>
      <c r="DM5">
        <v>63416.681699999994</v>
      </c>
      <c r="DN5">
        <v>84349.209600000002</v>
      </c>
      <c r="DO5">
        <v>0</v>
      </c>
      <c r="DP5">
        <v>5103.0418</v>
      </c>
      <c r="DQ5">
        <v>1253.3031000000001</v>
      </c>
      <c r="DR5">
        <v>880.23109999999997</v>
      </c>
      <c r="DS5">
        <v>31800.656200000001</v>
      </c>
      <c r="DT5">
        <v>1287.2568500000002</v>
      </c>
      <c r="DU5">
        <v>658.14194999999995</v>
      </c>
      <c r="DV5">
        <v>1067.23281</v>
      </c>
      <c r="DW5">
        <v>93229.684600000008</v>
      </c>
      <c r="DX5">
        <v>691.81110000000001</v>
      </c>
      <c r="DY5">
        <v>163546.77231999996</v>
      </c>
      <c r="DZ5">
        <v>238681.85738</v>
      </c>
      <c r="EA5">
        <v>18739.525889999997</v>
      </c>
      <c r="EB5">
        <v>50263.21125</v>
      </c>
      <c r="EC5">
        <v>65364.657720000003</v>
      </c>
      <c r="ED5">
        <v>78694.83</v>
      </c>
      <c r="EE5">
        <v>70312.479999999996</v>
      </c>
      <c r="EF5">
        <v>760.54</v>
      </c>
      <c r="EG5">
        <v>70410.77</v>
      </c>
      <c r="EH5">
        <v>48489.883999999998</v>
      </c>
      <c r="EI5">
        <v>21650.16</v>
      </c>
      <c r="EJ5">
        <v>89004.26</v>
      </c>
      <c r="EK5">
        <v>26821.91</v>
      </c>
      <c r="EL5">
        <v>151415.95000000001</v>
      </c>
      <c r="EM5">
        <v>39765.61</v>
      </c>
      <c r="EN5">
        <v>3995.95</v>
      </c>
      <c r="EO5">
        <v>89833.47</v>
      </c>
      <c r="EP5">
        <v>743</v>
      </c>
      <c r="EQ5">
        <v>308</v>
      </c>
      <c r="ER5">
        <v>272</v>
      </c>
      <c r="ES5">
        <v>8588</v>
      </c>
      <c r="ET5">
        <v>81206</v>
      </c>
      <c r="EU5">
        <v>127561</v>
      </c>
      <c r="EV5">
        <v>71564</v>
      </c>
      <c r="EW5">
        <v>1160</v>
      </c>
      <c r="EX5">
        <v>64028</v>
      </c>
      <c r="EY5">
        <v>41914</v>
      </c>
      <c r="EZ5">
        <v>63318</v>
      </c>
      <c r="FA5">
        <v>1181</v>
      </c>
    </row>
    <row r="6" spans="2:157" x14ac:dyDescent="0.25">
      <c r="B6" s="123">
        <f>EOMONTH(B5,1)</f>
        <v>41517</v>
      </c>
      <c r="C6" s="111">
        <v>8462</v>
      </c>
      <c r="D6" s="111">
        <v>1225</v>
      </c>
      <c r="E6" s="111">
        <v>-7154</v>
      </c>
      <c r="F6" s="111">
        <v>1067</v>
      </c>
      <c r="G6" s="111">
        <v>54107</v>
      </c>
      <c r="H6" s="111">
        <v>9010</v>
      </c>
      <c r="I6" s="111">
        <v>52356</v>
      </c>
      <c r="J6" s="111">
        <v>6759.8</v>
      </c>
      <c r="K6" s="111">
        <v>2753</v>
      </c>
      <c r="L6" s="111">
        <v>5978</v>
      </c>
      <c r="M6" s="111">
        <v>48939</v>
      </c>
      <c r="N6" s="111">
        <v>173074</v>
      </c>
      <c r="O6" s="111">
        <v>6232.2</v>
      </c>
      <c r="P6" s="111">
        <v>511</v>
      </c>
      <c r="Q6" s="112" t="s">
        <v>168</v>
      </c>
      <c r="R6" s="111">
        <v>1767</v>
      </c>
      <c r="S6" s="111">
        <v>16840</v>
      </c>
      <c r="T6" s="111">
        <v>13108.7</v>
      </c>
      <c r="U6" s="111">
        <v>41745</v>
      </c>
      <c r="V6" s="111">
        <v>19573</v>
      </c>
      <c r="W6" s="111">
        <v>8019</v>
      </c>
      <c r="X6" s="111">
        <v>8820</v>
      </c>
      <c r="Y6" s="111">
        <v>163243.29999999999</v>
      </c>
      <c r="Z6" s="111">
        <v>15558</v>
      </c>
      <c r="AA6" s="111">
        <v>35774</v>
      </c>
      <c r="AB6" s="111">
        <v>41107</v>
      </c>
      <c r="AC6" s="111">
        <v>5424</v>
      </c>
      <c r="AD6" s="111">
        <v>35629</v>
      </c>
      <c r="AE6" s="111">
        <v>3281</v>
      </c>
      <c r="AF6" s="111">
        <v>495</v>
      </c>
      <c r="AG6" s="181">
        <v>31</v>
      </c>
      <c r="AH6" s="185"/>
      <c r="AI6" s="72"/>
      <c r="AK6" s="203" t="str">
        <v>NPKAQUA</v>
      </c>
      <c r="AL6">
        <v>1741</v>
      </c>
      <c r="AM6">
        <v>1225</v>
      </c>
      <c r="AN6">
        <v>1058</v>
      </c>
      <c r="AO6">
        <v>414.62799999999999</v>
      </c>
      <c r="AP6">
        <v>249.77500000000001</v>
      </c>
      <c r="AQ6">
        <v>37.36</v>
      </c>
      <c r="AR6">
        <v>16730.427250000001</v>
      </c>
      <c r="AS6">
        <v>24330.2837</v>
      </c>
      <c r="AT6">
        <v>18221.653999999999</v>
      </c>
      <c r="AU6">
        <v>3776.7682500000001</v>
      </c>
      <c r="AV6">
        <v>3886.5319</v>
      </c>
      <c r="AW6">
        <v>905.48119999999994</v>
      </c>
      <c r="AX6">
        <v>397.44485000000003</v>
      </c>
      <c r="AY6">
        <v>190.65160000000003</v>
      </c>
      <c r="AZ6">
        <v>145.78425000000001</v>
      </c>
      <c r="BA6">
        <v>456.87592999999998</v>
      </c>
      <c r="BB6">
        <v>69.164699999999996</v>
      </c>
      <c r="BC6">
        <v>494.77940000000001</v>
      </c>
      <c r="BD6">
        <v>105.68640000000001</v>
      </c>
      <c r="BE6">
        <v>19078.294559999998</v>
      </c>
      <c r="BF6">
        <v>31388.719649999995</v>
      </c>
      <c r="BG6" t="str">
        <v xml:space="preserve">  </v>
      </c>
      <c r="BH6">
        <v>2797.6785</v>
      </c>
      <c r="BI6">
        <v>467.72269999999997</v>
      </c>
      <c r="BJ6">
        <v>2395.2209000000007</v>
      </c>
      <c r="BK6">
        <v>587.18518000000006</v>
      </c>
      <c r="BL6">
        <v>2787.9255000000003</v>
      </c>
      <c r="BM6">
        <v>-1486.7393199999997</v>
      </c>
      <c r="BN6">
        <v>254.1755</v>
      </c>
      <c r="BO6">
        <v>91.535699999999991</v>
      </c>
      <c r="BP6">
        <v>788.38925000000006</v>
      </c>
      <c r="BQ6">
        <v>26808.286949999998</v>
      </c>
      <c r="BR6">
        <v>40093.429179999985</v>
      </c>
      <c r="BS6">
        <v>15714.627200000001</v>
      </c>
      <c r="BT6">
        <v>1755.0704999999998</v>
      </c>
      <c r="BU6">
        <v>1284.93985</v>
      </c>
      <c r="BV6">
        <v>1148.4402799999998</v>
      </c>
      <c r="BW6">
        <v>462.48710000000005</v>
      </c>
      <c r="BX6">
        <v>709.0680000000001</v>
      </c>
      <c r="BY6">
        <v>313.89975000000004</v>
      </c>
      <c r="BZ6">
        <v>111.99977999999999</v>
      </c>
      <c r="CA6">
        <v>192.91320000000002</v>
      </c>
      <c r="CB6">
        <v>1084.6793</v>
      </c>
      <c r="CC6">
        <v>28679.305499999999</v>
      </c>
      <c r="CD6">
        <v>21163.16710000001</v>
      </c>
      <c r="CE6">
        <v>10007.901330000001</v>
      </c>
      <c r="CF6">
        <v>1661.5879999999997</v>
      </c>
      <c r="CG6">
        <v>2345.9560800000004</v>
      </c>
      <c r="CH6">
        <v>919.34044999999992</v>
      </c>
      <c r="CI6">
        <v>637.59857999999997</v>
      </c>
      <c r="CJ6">
        <v>103.46275</v>
      </c>
      <c r="CK6">
        <v>353.24250000000001</v>
      </c>
      <c r="CL6">
        <v>115.61275000000001</v>
      </c>
      <c r="CM6">
        <v>22176.351979999996</v>
      </c>
      <c r="CN6">
        <v>569.57590000000005</v>
      </c>
      <c r="CO6">
        <v>17182.99468</v>
      </c>
      <c r="CP6">
        <v>24310.732099999997</v>
      </c>
      <c r="CQ6">
        <v>929.26144999999997</v>
      </c>
      <c r="CR6">
        <v>7510.0019400000019</v>
      </c>
      <c r="CS6">
        <v>803.27015999999992</v>
      </c>
      <c r="CT6">
        <v>745.13857999999993</v>
      </c>
      <c r="CU6">
        <v>245.85000000000002</v>
      </c>
      <c r="CV6">
        <v>186.5985</v>
      </c>
      <c r="CW6">
        <v>244.76400000000001</v>
      </c>
      <c r="CX6">
        <v>245.77959999999999</v>
      </c>
      <c r="CY6">
        <v>87.9</v>
      </c>
      <c r="CZ6">
        <v>2562.9584</v>
      </c>
      <c r="DA6">
        <v>16620.627</v>
      </c>
      <c r="DB6">
        <v>9566.1899999999987</v>
      </c>
      <c r="DC6">
        <v>540.78156999999999</v>
      </c>
      <c r="DD6">
        <v>3555.0915800000016</v>
      </c>
      <c r="DE6">
        <v>1281.6257499999997</v>
      </c>
      <c r="DF6">
        <v>477.93824999999993</v>
      </c>
      <c r="DG6">
        <v>1215.56431</v>
      </c>
      <c r="DH6">
        <v>228.09005999999999</v>
      </c>
      <c r="DI6">
        <v>839.81466</v>
      </c>
      <c r="DJ6">
        <v>15.92</v>
      </c>
      <c r="DK6">
        <v>234.8</v>
      </c>
      <c r="DL6">
        <v>3301.4188999999997</v>
      </c>
      <c r="DM6">
        <v>34742.394980000005</v>
      </c>
      <c r="DN6">
        <v>7225.772750000001</v>
      </c>
      <c r="DO6">
        <v>1348.59645</v>
      </c>
      <c r="DP6">
        <v>2353.6758300000001</v>
      </c>
      <c r="DQ6">
        <v>1832.6133299999999</v>
      </c>
      <c r="DR6">
        <v>2532.7596599999997</v>
      </c>
      <c r="DS6">
        <v>1612.2304599999998</v>
      </c>
      <c r="DT6">
        <v>2721.4486200000001</v>
      </c>
      <c r="DU6">
        <v>2168.5922099999998</v>
      </c>
      <c r="DV6">
        <v>2678.8449599999999</v>
      </c>
      <c r="DW6">
        <v>1737.09277</v>
      </c>
      <c r="DX6">
        <v>4528.6694800000005</v>
      </c>
      <c r="DY6">
        <v>37039.242380000011</v>
      </c>
      <c r="DZ6">
        <v>30189.001980000005</v>
      </c>
      <c r="EA6">
        <v>4758.776179999998</v>
      </c>
      <c r="EB6">
        <v>4426.0488800000003</v>
      </c>
      <c r="EC6">
        <v>2842.6634800000002</v>
      </c>
      <c r="ED6">
        <v>1556.73</v>
      </c>
      <c r="EE6">
        <v>1478.1385</v>
      </c>
      <c r="EF6">
        <v>995.21</v>
      </c>
      <c r="EG6">
        <v>850.46</v>
      </c>
      <c r="EH6">
        <v>8346.19</v>
      </c>
      <c r="EI6">
        <v>834.28</v>
      </c>
      <c r="EJ6">
        <v>11369.08</v>
      </c>
      <c r="EK6">
        <v>25405.73</v>
      </c>
      <c r="EL6">
        <v>12224.39</v>
      </c>
      <c r="EM6">
        <v>2335.89</v>
      </c>
      <c r="EN6">
        <v>1907.53</v>
      </c>
      <c r="EO6">
        <v>1112.79</v>
      </c>
      <c r="EP6">
        <v>345</v>
      </c>
      <c r="EQ6">
        <v>77</v>
      </c>
      <c r="ER6">
        <v>142</v>
      </c>
      <c r="ES6">
        <v>1379</v>
      </c>
      <c r="ET6">
        <v>1679</v>
      </c>
      <c r="EU6">
        <v>2415</v>
      </c>
      <c r="EV6">
        <v>7301</v>
      </c>
      <c r="EW6">
        <v>21179</v>
      </c>
      <c r="EX6">
        <v>12709</v>
      </c>
      <c r="EY6">
        <v>515</v>
      </c>
      <c r="EZ6">
        <v>6224</v>
      </c>
      <c r="FA6">
        <v>241</v>
      </c>
    </row>
    <row r="7" spans="2:157" ht="15.75" thickBot="1" x14ac:dyDescent="0.3">
      <c r="B7" s="123">
        <f t="shared" ref="B7:B70" si="9">EOMONTH(B6,1)</f>
        <v>41547</v>
      </c>
      <c r="C7" s="108">
        <v>12324</v>
      </c>
      <c r="D7" s="108">
        <v>1058</v>
      </c>
      <c r="E7" s="108">
        <v>-21</v>
      </c>
      <c r="F7" s="108">
        <v>1716</v>
      </c>
      <c r="G7" s="108">
        <v>76660</v>
      </c>
      <c r="H7" s="108">
        <v>10517</v>
      </c>
      <c r="I7" s="108">
        <v>34856.6</v>
      </c>
      <c r="J7" s="108">
        <v>2520.6</v>
      </c>
      <c r="K7" s="108">
        <v>9039</v>
      </c>
      <c r="L7" s="108">
        <v>5956</v>
      </c>
      <c r="M7" s="108">
        <v>22704</v>
      </c>
      <c r="N7" s="108">
        <v>44682</v>
      </c>
      <c r="O7" s="108">
        <v>5682.6</v>
      </c>
      <c r="P7" s="108">
        <v>359</v>
      </c>
      <c r="Q7" s="109" t="s">
        <v>168</v>
      </c>
      <c r="R7" s="108">
        <v>2894</v>
      </c>
      <c r="S7" s="108">
        <v>40108</v>
      </c>
      <c r="T7" s="108">
        <v>4722.3999999999996</v>
      </c>
      <c r="U7" s="108">
        <v>4011.4</v>
      </c>
      <c r="V7" s="108">
        <v>12131</v>
      </c>
      <c r="W7" s="108">
        <v>4611.2</v>
      </c>
      <c r="X7" s="108">
        <v>13749</v>
      </c>
      <c r="Y7" s="108">
        <v>79144</v>
      </c>
      <c r="Z7" s="108">
        <v>47207</v>
      </c>
      <c r="AA7" s="108">
        <v>50532</v>
      </c>
      <c r="AB7" s="108">
        <v>87444</v>
      </c>
      <c r="AC7" s="108">
        <v>666</v>
      </c>
      <c r="AD7" s="108">
        <v>4643</v>
      </c>
      <c r="AE7" s="108">
        <v>4488</v>
      </c>
      <c r="AF7" s="108">
        <v>1321.4</v>
      </c>
      <c r="AG7" s="182">
        <v>119</v>
      </c>
      <c r="AH7" s="185"/>
      <c r="AI7" s="72"/>
      <c r="AK7" s="203" t="str">
        <v>SO4BORIC</v>
      </c>
      <c r="AL7">
        <v>-46106</v>
      </c>
      <c r="AM7">
        <v>-7154</v>
      </c>
      <c r="AN7">
        <v>-21</v>
      </c>
      <c r="AO7">
        <v>-60</v>
      </c>
      <c r="AP7">
        <v>-20</v>
      </c>
      <c r="AQ7">
        <v>-3211.7959999999998</v>
      </c>
      <c r="AR7">
        <v>3.6844000000000001</v>
      </c>
      <c r="AS7">
        <v>1627.296</v>
      </c>
      <c r="AT7">
        <v>177</v>
      </c>
      <c r="AU7">
        <v>13703.217699999999</v>
      </c>
      <c r="AV7">
        <v>27997.002899999999</v>
      </c>
      <c r="AW7">
        <v>11228.464699999999</v>
      </c>
      <c r="AX7">
        <v>68914.1924</v>
      </c>
      <c r="AY7">
        <v>91.704399999999993</v>
      </c>
      <c r="AZ7">
        <v>36</v>
      </c>
      <c r="BA7">
        <v>60</v>
      </c>
      <c r="BB7">
        <v>2</v>
      </c>
      <c r="BC7">
        <v>14.006399999999999</v>
      </c>
      <c r="BD7">
        <v>17</v>
      </c>
      <c r="BE7">
        <v>1.4170499999999999</v>
      </c>
      <c r="BF7">
        <v>2552.4560999999999</v>
      </c>
      <c r="BG7">
        <v>45489.819400000008</v>
      </c>
      <c r="BH7">
        <v>115</v>
      </c>
      <c r="BI7">
        <v>54430.647200000007</v>
      </c>
      <c r="BJ7">
        <v>48740.30279999999</v>
      </c>
      <c r="BK7">
        <v>75</v>
      </c>
      <c r="BL7">
        <v>28.382400000000001</v>
      </c>
      <c r="BM7">
        <v>61.7044</v>
      </c>
      <c r="BN7">
        <v>5</v>
      </c>
      <c r="BO7">
        <v>10</v>
      </c>
      <c r="BP7">
        <v>657.596</v>
      </c>
      <c r="BQ7">
        <v>281.2276</v>
      </c>
      <c r="BR7">
        <v>36495.108399999997</v>
      </c>
      <c r="BS7">
        <v>85</v>
      </c>
      <c r="BT7">
        <v>25602.346400000002</v>
      </c>
      <c r="BU7">
        <v>27549.010399999999</v>
      </c>
      <c r="BV7">
        <v>71067.522800000006</v>
      </c>
      <c r="BW7">
        <v>75</v>
      </c>
      <c r="BX7">
        <v>25</v>
      </c>
      <c r="BY7">
        <v>75</v>
      </c>
      <c r="BZ7">
        <v>1632.296</v>
      </c>
      <c r="CA7">
        <v>1636.49</v>
      </c>
      <c r="CB7">
        <v>1612.296</v>
      </c>
      <c r="CC7">
        <v>30</v>
      </c>
      <c r="CD7">
        <v>384.94</v>
      </c>
      <c r="CE7">
        <v>14113.465400000001</v>
      </c>
      <c r="CF7">
        <v>53538.558499999992</v>
      </c>
      <c r="CG7">
        <v>26568.289200000003</v>
      </c>
      <c r="CH7">
        <v>79243.593400000012</v>
      </c>
      <c r="CI7">
        <v>30538.440849999999</v>
      </c>
      <c r="CJ7">
        <v>75</v>
      </c>
      <c r="CK7">
        <v>50</v>
      </c>
      <c r="CL7">
        <v>25</v>
      </c>
      <c r="CM7">
        <v>0</v>
      </c>
      <c r="CN7">
        <v>1612.296</v>
      </c>
      <c r="CO7">
        <v>1706.5</v>
      </c>
      <c r="CP7">
        <v>15011.539799999999</v>
      </c>
      <c r="CQ7">
        <v>16733.965500000002</v>
      </c>
      <c r="CR7">
        <v>34398.374800000005</v>
      </c>
      <c r="CS7">
        <v>70828.963099999994</v>
      </c>
      <c r="CT7">
        <v>110898.4688</v>
      </c>
      <c r="CU7">
        <v>90</v>
      </c>
      <c r="CV7">
        <v>28</v>
      </c>
      <c r="CW7">
        <v>50</v>
      </c>
      <c r="CX7">
        <v>0</v>
      </c>
      <c r="CY7">
        <v>1612.296</v>
      </c>
      <c r="CZ7">
        <v>205</v>
      </c>
      <c r="DA7">
        <v>150</v>
      </c>
      <c r="DB7">
        <v>27990.759900000001</v>
      </c>
      <c r="DC7">
        <v>45408.762600000009</v>
      </c>
      <c r="DD7">
        <v>47840.142400000004</v>
      </c>
      <c r="DE7">
        <v>97575.747049999991</v>
      </c>
      <c r="DF7">
        <v>97575.747049999991</v>
      </c>
      <c r="DG7">
        <v>9907.3366499999993</v>
      </c>
      <c r="DH7">
        <v>0.2838</v>
      </c>
      <c r="DI7">
        <v>46</v>
      </c>
      <c r="DJ7">
        <v>16.398</v>
      </c>
      <c r="DK7">
        <v>0</v>
      </c>
      <c r="DL7">
        <v>68449.536399999983</v>
      </c>
      <c r="DM7">
        <v>4914.0919999999996</v>
      </c>
      <c r="DN7">
        <v>32336.903399999999</v>
      </c>
      <c r="DO7">
        <v>18650.170000000002</v>
      </c>
      <c r="DP7">
        <v>54491.366199999997</v>
      </c>
      <c r="DQ7">
        <v>74488.835200000001</v>
      </c>
      <c r="DR7">
        <v>84909.831460000001</v>
      </c>
      <c r="DS7">
        <v>10972.996150000001</v>
      </c>
      <c r="DT7">
        <v>0</v>
      </c>
      <c r="DU7">
        <v>0.70950000000000002</v>
      </c>
      <c r="DV7">
        <v>0</v>
      </c>
      <c r="DW7">
        <v>0</v>
      </c>
      <c r="DX7">
        <v>0</v>
      </c>
      <c r="DY7">
        <v>170.17027999999999</v>
      </c>
      <c r="DZ7">
        <v>35582.214850000004</v>
      </c>
      <c r="EA7">
        <v>132842.60380000007</v>
      </c>
      <c r="EB7">
        <v>91905.955549999999</v>
      </c>
      <c r="EC7">
        <v>44856.910199999998</v>
      </c>
      <c r="ED7">
        <v>59903.77</v>
      </c>
      <c r="EE7">
        <v>10334.77</v>
      </c>
      <c r="EF7">
        <v>0</v>
      </c>
      <c r="EG7">
        <v>0</v>
      </c>
      <c r="EH7">
        <v>0</v>
      </c>
      <c r="EI7">
        <v>3211.79</v>
      </c>
      <c r="EJ7">
        <v>21085.4</v>
      </c>
      <c r="EK7">
        <v>14107.6</v>
      </c>
      <c r="EL7">
        <v>115260.55</v>
      </c>
      <c r="EM7">
        <v>28549.38</v>
      </c>
      <c r="EN7">
        <v>25034.99</v>
      </c>
      <c r="EO7">
        <v>28118.42</v>
      </c>
      <c r="EP7">
        <v>19425</v>
      </c>
      <c r="EQ7">
        <v>13275</v>
      </c>
      <c r="ER7">
        <v>0</v>
      </c>
      <c r="ES7">
        <v>19495</v>
      </c>
      <c r="ET7">
        <v>9597</v>
      </c>
      <c r="EU7">
        <v>0</v>
      </c>
      <c r="EV7">
        <v>5976</v>
      </c>
      <c r="EW7">
        <v>14303</v>
      </c>
      <c r="EX7">
        <v>32002</v>
      </c>
      <c r="EY7">
        <v>28185</v>
      </c>
      <c r="EZ7">
        <v>87505</v>
      </c>
      <c r="FA7">
        <v>9597</v>
      </c>
    </row>
    <row r="8" spans="2:157" x14ac:dyDescent="0.25">
      <c r="B8" s="123">
        <f t="shared" si="9"/>
        <v>41578</v>
      </c>
      <c r="C8" s="114">
        <v>4266.9440000000004</v>
      </c>
      <c r="D8" s="114">
        <v>414.62799999999999</v>
      </c>
      <c r="E8" s="114">
        <v>-60</v>
      </c>
      <c r="F8" s="114">
        <v>6867.1134299999994</v>
      </c>
      <c r="G8" s="114">
        <v>564655.15993999992</v>
      </c>
      <c r="H8" s="114">
        <v>15356.268000000002</v>
      </c>
      <c r="I8" s="114">
        <v>70175.240139999994</v>
      </c>
      <c r="J8" s="114">
        <v>4112.0495000000001</v>
      </c>
      <c r="K8" s="114">
        <v>10720.586139999999</v>
      </c>
      <c r="L8" s="114">
        <v>10746.100850000001</v>
      </c>
      <c r="M8" s="114">
        <v>31243.343000000001</v>
      </c>
      <c r="N8" s="114">
        <v>94386.027019999994</v>
      </c>
      <c r="O8" s="114">
        <v>14436.865599999999</v>
      </c>
      <c r="P8" s="114">
        <v>844.98</v>
      </c>
      <c r="Q8" s="115" t="s">
        <v>168</v>
      </c>
      <c r="R8" s="114">
        <v>5083.0624000000007</v>
      </c>
      <c r="S8" s="114">
        <v>155559</v>
      </c>
      <c r="T8" s="114">
        <v>14023.18</v>
      </c>
      <c r="U8" s="114">
        <v>31475.721540000002</v>
      </c>
      <c r="V8" s="114">
        <v>17838.136000000002</v>
      </c>
      <c r="W8" s="114">
        <v>6919.0343999999996</v>
      </c>
      <c r="X8" s="114">
        <v>90194.108399999997</v>
      </c>
      <c r="Y8" s="114">
        <v>225649.47242000001</v>
      </c>
      <c r="Z8" s="114">
        <v>199211</v>
      </c>
      <c r="AA8" s="114">
        <v>211755.86074999999</v>
      </c>
      <c r="AB8" s="114">
        <v>392396.68644000002</v>
      </c>
      <c r="AC8" s="114">
        <v>6466.8417600000002</v>
      </c>
      <c r="AD8" s="114">
        <v>44911.920100000003</v>
      </c>
      <c r="AE8" s="114">
        <v>4545.9084000000003</v>
      </c>
      <c r="AF8" s="91">
        <v>550.96439999999996</v>
      </c>
      <c r="AG8" s="180">
        <v>31</v>
      </c>
      <c r="AH8" s="185"/>
      <c r="AI8" s="72"/>
      <c r="AK8" s="203" t="str">
        <v>SO4BORON</v>
      </c>
      <c r="AL8">
        <v>2846</v>
      </c>
      <c r="AM8">
        <v>1067</v>
      </c>
      <c r="AN8">
        <v>1716</v>
      </c>
      <c r="AO8">
        <v>6867.1134299999994</v>
      </c>
      <c r="AP8">
        <v>5187.9486099999995</v>
      </c>
      <c r="AQ8">
        <v>4677.8315000000002</v>
      </c>
      <c r="AR8">
        <v>8864.9188999999988</v>
      </c>
      <c r="AS8">
        <v>15122.849799999998</v>
      </c>
      <c r="AT8">
        <v>14807.842859999995</v>
      </c>
      <c r="AU8">
        <v>10637.225200000001</v>
      </c>
      <c r="AV8">
        <v>7189.9137899999996</v>
      </c>
      <c r="AW8">
        <v>7057.71461</v>
      </c>
      <c r="AX8">
        <v>2148.8647400000004</v>
      </c>
      <c r="AY8">
        <v>1690.1835899999999</v>
      </c>
      <c r="AZ8">
        <v>1326.0287699999999</v>
      </c>
      <c r="BA8">
        <v>4814.8626599999989</v>
      </c>
      <c r="BB8">
        <v>2818.5473099999999</v>
      </c>
      <c r="BC8">
        <v>3541.9787900000001</v>
      </c>
      <c r="BD8">
        <v>6637.9951000000001</v>
      </c>
      <c r="BE8">
        <v>11012.01656</v>
      </c>
      <c r="BF8">
        <v>10487.734389999996</v>
      </c>
      <c r="BG8">
        <v>10299.19613</v>
      </c>
      <c r="BH8">
        <v>4569.6324500000001</v>
      </c>
      <c r="BI8">
        <v>2640.7879600000001</v>
      </c>
      <c r="BJ8">
        <v>4600.0756099999999</v>
      </c>
      <c r="BK8">
        <v>1083.10698</v>
      </c>
      <c r="BL8">
        <v>2248.4661900000006</v>
      </c>
      <c r="BM8">
        <v>3888.1289200000001</v>
      </c>
      <c r="BN8">
        <v>3505.01523</v>
      </c>
      <c r="BO8">
        <v>4415.1205599999994</v>
      </c>
      <c r="BP8">
        <v>6115.3105999999998</v>
      </c>
      <c r="BQ8">
        <v>13002.215780000004</v>
      </c>
      <c r="BR8">
        <v>15007.499080000005</v>
      </c>
      <c r="BS8">
        <v>9075.6717600000011</v>
      </c>
      <c r="BT8">
        <v>5172.3797700000005</v>
      </c>
      <c r="BU8">
        <v>4071.51577</v>
      </c>
      <c r="BV8">
        <v>2462.1032600000003</v>
      </c>
      <c r="BW8">
        <v>3586.0252999999998</v>
      </c>
      <c r="BX8">
        <v>1452.03334</v>
      </c>
      <c r="BY8">
        <v>3592.56603</v>
      </c>
      <c r="BZ8">
        <v>3869.1428600000008</v>
      </c>
      <c r="CA8">
        <v>4564.0861800000002</v>
      </c>
      <c r="CB8">
        <v>7361.1282399999991</v>
      </c>
      <c r="CC8">
        <v>11960.710310000002</v>
      </c>
      <c r="CD8">
        <v>8424.0295399999995</v>
      </c>
      <c r="CE8">
        <v>6000.9547299999995</v>
      </c>
      <c r="CF8">
        <v>7656.9315399999996</v>
      </c>
      <c r="CG8">
        <v>6044.8924900000002</v>
      </c>
      <c r="CH8">
        <v>4191.8755199999996</v>
      </c>
      <c r="CI8">
        <v>159.51732000000001</v>
      </c>
      <c r="CJ8">
        <v>842.02481999999998</v>
      </c>
      <c r="CK8">
        <v>2913.0251600000001</v>
      </c>
      <c r="CL8">
        <v>3118.93271</v>
      </c>
      <c r="CM8">
        <v>2502.7433600000004</v>
      </c>
      <c r="CN8">
        <v>3371.9772899999998</v>
      </c>
      <c r="CO8">
        <v>15489.12057000001</v>
      </c>
      <c r="CP8">
        <v>4787.32485</v>
      </c>
      <c r="CQ8">
        <v>7169.968859999999</v>
      </c>
      <c r="CR8">
        <v>6158.0225400000008</v>
      </c>
      <c r="CS8">
        <v>4991.8966499999997</v>
      </c>
      <c r="CT8">
        <v>1500.4429599999999</v>
      </c>
      <c r="CU8">
        <v>636.37407000000007</v>
      </c>
      <c r="CV8">
        <v>343.86760000000004</v>
      </c>
      <c r="CW8">
        <v>3008.0086500000002</v>
      </c>
      <c r="CX8">
        <v>1914.4435000000001</v>
      </c>
      <c r="CY8">
        <v>2070.9830700000002</v>
      </c>
      <c r="CZ8">
        <v>6997.9599399999997</v>
      </c>
      <c r="DA8">
        <v>19864.941010000002</v>
      </c>
      <c r="DB8">
        <v>7380.1793899999993</v>
      </c>
      <c r="DC8">
        <v>6475.1043799999979</v>
      </c>
      <c r="DD8">
        <v>5004.1300899999997</v>
      </c>
      <c r="DE8">
        <v>3134.0722799999999</v>
      </c>
      <c r="DF8">
        <v>1035.60736</v>
      </c>
      <c r="DG8">
        <v>185.56874999999997</v>
      </c>
      <c r="DH8">
        <v>336.55378000000007</v>
      </c>
      <c r="DI8">
        <v>3035.0982599999998</v>
      </c>
      <c r="DJ8">
        <v>1589.5899100000001</v>
      </c>
      <c r="DK8">
        <v>2472.9130699999996</v>
      </c>
      <c r="DL8">
        <v>8725.0224299999991</v>
      </c>
      <c r="DM8">
        <v>13746.388169999997</v>
      </c>
      <c r="DN8">
        <v>8906.5989399999999</v>
      </c>
      <c r="DO8">
        <v>4400.5803999999998</v>
      </c>
      <c r="DP8">
        <v>2562.7935400000006</v>
      </c>
      <c r="DQ8">
        <v>2121.2731399999998</v>
      </c>
      <c r="DR8">
        <v>2087.3395399999999</v>
      </c>
      <c r="DS8">
        <v>543.37480000000005</v>
      </c>
      <c r="DT8">
        <v>305.59073999999998</v>
      </c>
      <c r="DU8">
        <v>3488.9129900000007</v>
      </c>
      <c r="DV8">
        <v>2650.4494799999998</v>
      </c>
      <c r="DW8">
        <v>3547.9208400000002</v>
      </c>
      <c r="DX8">
        <v>4984.6961399999991</v>
      </c>
      <c r="DY8">
        <v>12896.07892</v>
      </c>
      <c r="DZ8">
        <v>8498.3143499999969</v>
      </c>
      <c r="EA8">
        <v>6196.4934500000008</v>
      </c>
      <c r="EB8">
        <v>2956.7157799999995</v>
      </c>
      <c r="EC8">
        <v>5108.0395899999994</v>
      </c>
      <c r="ED8">
        <v>579.25</v>
      </c>
      <c r="EE8">
        <v>176.42</v>
      </c>
      <c r="EF8">
        <v>1133.55</v>
      </c>
      <c r="EG8">
        <v>1672.55</v>
      </c>
      <c r="EH8">
        <v>2252.88</v>
      </c>
      <c r="EI8">
        <v>2353.8000000000002</v>
      </c>
      <c r="EJ8">
        <v>6127</v>
      </c>
      <c r="EK8">
        <v>9209.65</v>
      </c>
      <c r="EL8">
        <v>7984.14</v>
      </c>
      <c r="EM8">
        <v>6343.68</v>
      </c>
      <c r="EN8">
        <v>4041.27</v>
      </c>
      <c r="EO8">
        <v>2716.74</v>
      </c>
      <c r="EP8">
        <v>7</v>
      </c>
      <c r="EQ8">
        <v>516</v>
      </c>
      <c r="ER8">
        <v>600</v>
      </c>
      <c r="ES8">
        <v>1458</v>
      </c>
      <c r="ET8">
        <v>3224</v>
      </c>
      <c r="EU8">
        <v>3294</v>
      </c>
      <c r="EV8">
        <v>4157</v>
      </c>
      <c r="EW8">
        <v>8168</v>
      </c>
      <c r="EX8">
        <v>5984</v>
      </c>
      <c r="EY8">
        <v>5739</v>
      </c>
      <c r="EZ8">
        <v>5683</v>
      </c>
      <c r="FA8">
        <v>2646</v>
      </c>
    </row>
    <row r="9" spans="2:157" x14ac:dyDescent="0.25">
      <c r="B9" s="123">
        <f t="shared" si="9"/>
        <v>41608</v>
      </c>
      <c r="C9" s="111">
        <v>1645.2972</v>
      </c>
      <c r="D9" s="111">
        <v>249.77500000000001</v>
      </c>
      <c r="E9" s="111">
        <v>-20</v>
      </c>
      <c r="F9" s="111">
        <v>5187.9486099999995</v>
      </c>
      <c r="G9" s="111">
        <v>780940.3314599999</v>
      </c>
      <c r="H9" s="111">
        <v>8867.7059500000014</v>
      </c>
      <c r="I9" s="111">
        <v>38209.317399999993</v>
      </c>
      <c r="J9" s="111">
        <v>8621.4441000000024</v>
      </c>
      <c r="K9" s="111">
        <v>1152.4742000000001</v>
      </c>
      <c r="L9" s="111">
        <v>5379.2844999999998</v>
      </c>
      <c r="M9" s="111">
        <v>12311.729199999998</v>
      </c>
      <c r="N9" s="111">
        <v>37263.179999999993</v>
      </c>
      <c r="O9" s="111">
        <v>13833.635999999999</v>
      </c>
      <c r="P9" s="111">
        <v>739.35874999999999</v>
      </c>
      <c r="Q9" s="112" t="s">
        <v>168</v>
      </c>
      <c r="R9" s="111">
        <v>2148.5151499999997</v>
      </c>
      <c r="S9" s="111">
        <v>194801</v>
      </c>
      <c r="T9" s="111">
        <v>5567.7334000000001</v>
      </c>
      <c r="U9" s="111">
        <v>16947.412799999998</v>
      </c>
      <c r="V9" s="111">
        <v>4098.7575999999999</v>
      </c>
      <c r="W9" s="111">
        <v>8268.3322000000007</v>
      </c>
      <c r="X9" s="111">
        <v>90746.534500000009</v>
      </c>
      <c r="Y9" s="111">
        <v>159391.35570000001</v>
      </c>
      <c r="Z9" s="111">
        <v>244445.9192</v>
      </c>
      <c r="AA9" s="111">
        <v>269839.69469999999</v>
      </c>
      <c r="AB9" s="111">
        <v>393754</v>
      </c>
      <c r="AC9" s="111">
        <v>5446.9238499999992</v>
      </c>
      <c r="AD9" s="111">
        <v>8292.4717999999993</v>
      </c>
      <c r="AE9" s="111">
        <v>2139.2683499999998</v>
      </c>
      <c r="AF9" s="111">
        <v>598.31769999999995</v>
      </c>
      <c r="AG9" s="181">
        <v>109.18</v>
      </c>
      <c r="AH9" s="185"/>
      <c r="AI9" s="72"/>
      <c r="AK9" s="203" t="str">
        <v>NO3CA</v>
      </c>
      <c r="AL9">
        <v>18527</v>
      </c>
      <c r="AM9">
        <v>54107</v>
      </c>
      <c r="AN9">
        <v>76660</v>
      </c>
      <c r="AO9">
        <v>564655.15993999992</v>
      </c>
      <c r="AP9">
        <v>780940.3314599999</v>
      </c>
      <c r="AQ9">
        <v>851250.03890000016</v>
      </c>
      <c r="AR9">
        <v>719713.34447999997</v>
      </c>
      <c r="AS9">
        <v>736100.1667200001</v>
      </c>
      <c r="AT9">
        <v>429159.58856</v>
      </c>
      <c r="AU9">
        <v>403700.06047999999</v>
      </c>
      <c r="AV9">
        <v>244918.3811</v>
      </c>
      <c r="AW9">
        <v>40002.762770000001</v>
      </c>
      <c r="AX9">
        <v>20090.550889999999</v>
      </c>
      <c r="AY9">
        <v>46720.222479999997</v>
      </c>
      <c r="AZ9">
        <v>114296.43734</v>
      </c>
      <c r="BA9">
        <v>421414.02742</v>
      </c>
      <c r="BB9">
        <v>529184.13320000004</v>
      </c>
      <c r="BC9">
        <v>612165.38152000005</v>
      </c>
      <c r="BD9">
        <v>445276.92206000001</v>
      </c>
      <c r="BE9">
        <v>439520.50283999997</v>
      </c>
      <c r="BF9">
        <v>364145.61593999999</v>
      </c>
      <c r="BG9">
        <v>376340.38428</v>
      </c>
      <c r="BH9">
        <v>189040.99839999998</v>
      </c>
      <c r="BI9">
        <v>55288.028899999998</v>
      </c>
      <c r="BJ9">
        <v>19165.729429999999</v>
      </c>
      <c r="BK9">
        <v>21093.327679999999</v>
      </c>
      <c r="BL9">
        <v>116469.20939999999</v>
      </c>
      <c r="BM9">
        <v>485642.17180000001</v>
      </c>
      <c r="BN9">
        <v>583082.93507999997</v>
      </c>
      <c r="BO9">
        <v>563193.47080000001</v>
      </c>
      <c r="BP9">
        <v>389748.43280000001</v>
      </c>
      <c r="BQ9">
        <v>635320.23800000001</v>
      </c>
      <c r="BR9">
        <v>426964.23442999995</v>
      </c>
      <c r="BS9">
        <v>405210.86119999998</v>
      </c>
      <c r="BT9">
        <v>303268.80278000003</v>
      </c>
      <c r="BU9">
        <v>99162.108600000007</v>
      </c>
      <c r="BV9">
        <v>113175.27903000001</v>
      </c>
      <c r="BW9">
        <v>52782.05290000001</v>
      </c>
      <c r="BX9">
        <v>147012.89708</v>
      </c>
      <c r="BY9">
        <v>610473.90197999997</v>
      </c>
      <c r="BZ9">
        <v>495397.23600000003</v>
      </c>
      <c r="CA9">
        <v>381707.27294</v>
      </c>
      <c r="CB9">
        <v>418635.94319999998</v>
      </c>
      <c r="CC9">
        <v>390019.40528000006</v>
      </c>
      <c r="CD9">
        <v>275180.82949999999</v>
      </c>
      <c r="CE9">
        <v>237345.8909</v>
      </c>
      <c r="CF9">
        <v>211540.39048</v>
      </c>
      <c r="CG9">
        <v>56695.77399999999</v>
      </c>
      <c r="CH9">
        <v>30453.853179999998</v>
      </c>
      <c r="CI9">
        <v>27108.573100000001</v>
      </c>
      <c r="CJ9">
        <v>41373.334080000001</v>
      </c>
      <c r="CK9">
        <v>449744.86807999999</v>
      </c>
      <c r="CL9">
        <v>541083.85</v>
      </c>
      <c r="CM9">
        <v>472773.99215000001</v>
      </c>
      <c r="CN9">
        <v>438040.67968</v>
      </c>
      <c r="CO9">
        <v>454189.59805000003</v>
      </c>
      <c r="CP9">
        <v>287066.5148</v>
      </c>
      <c r="CQ9">
        <v>349139.52648</v>
      </c>
      <c r="CR9">
        <v>212200.29916</v>
      </c>
      <c r="CS9">
        <v>31883.480599999995</v>
      </c>
      <c r="CT9">
        <v>15230.0476</v>
      </c>
      <c r="CU9">
        <v>4758</v>
      </c>
      <c r="CV9">
        <v>85676.59</v>
      </c>
      <c r="CW9">
        <v>485105.23800000001</v>
      </c>
      <c r="CX9">
        <v>538928.58648000006</v>
      </c>
      <c r="CY9">
        <v>446121.88800000004</v>
      </c>
      <c r="CZ9">
        <v>496243.40107999998</v>
      </c>
      <c r="DA9">
        <v>479826.84959999996</v>
      </c>
      <c r="DB9">
        <v>281586.77182000002</v>
      </c>
      <c r="DC9">
        <v>330245.66619999998</v>
      </c>
      <c r="DD9">
        <v>153354.44747000001</v>
      </c>
      <c r="DE9">
        <v>52667.627640000006</v>
      </c>
      <c r="DF9">
        <v>19855.620080000001</v>
      </c>
      <c r="DG9">
        <v>26612.554600000003</v>
      </c>
      <c r="DH9">
        <v>92294.97</v>
      </c>
      <c r="DI9">
        <v>455093.32208000001</v>
      </c>
      <c r="DJ9">
        <v>553041.89599999995</v>
      </c>
      <c r="DK9">
        <v>425503.75099999999</v>
      </c>
      <c r="DL9">
        <v>557460.12300000002</v>
      </c>
      <c r="DM9">
        <v>463740.54319999996</v>
      </c>
      <c r="DN9">
        <v>407093.62138000003</v>
      </c>
      <c r="DO9">
        <v>391234.27875</v>
      </c>
      <c r="DP9">
        <v>240174.97288000002</v>
      </c>
      <c r="DQ9">
        <v>24610.976999999999</v>
      </c>
      <c r="DR9">
        <v>65942.40552</v>
      </c>
      <c r="DS9">
        <v>13548.654409999999</v>
      </c>
      <c r="DT9">
        <v>91329.131999999983</v>
      </c>
      <c r="DU9">
        <v>392934.93907999998</v>
      </c>
      <c r="DV9">
        <v>529469.74339999992</v>
      </c>
      <c r="DW9">
        <v>501040.84013999993</v>
      </c>
      <c r="DX9">
        <v>498501.28167999996</v>
      </c>
      <c r="DY9">
        <v>512257.17600000004</v>
      </c>
      <c r="DZ9">
        <v>351899.15448000008</v>
      </c>
      <c r="EA9">
        <v>389110.23547999997</v>
      </c>
      <c r="EB9">
        <v>200399.79680000001</v>
      </c>
      <c r="EC9">
        <v>77163.492800000007</v>
      </c>
      <c r="ED9">
        <v>28478.639999999999</v>
      </c>
      <c r="EE9">
        <v>23329.27</v>
      </c>
      <c r="EF9">
        <v>102174.34</v>
      </c>
      <c r="EG9">
        <v>272399.57</v>
      </c>
      <c r="EH9">
        <v>468267.69</v>
      </c>
      <c r="EI9">
        <v>470441.2</v>
      </c>
      <c r="EJ9">
        <v>452766.92</v>
      </c>
      <c r="EK9">
        <v>454712.91</v>
      </c>
      <c r="EL9">
        <v>379058.19</v>
      </c>
      <c r="EM9">
        <v>341096.98</v>
      </c>
      <c r="EN9">
        <v>197837.55</v>
      </c>
      <c r="EO9">
        <v>27722.32</v>
      </c>
      <c r="EP9">
        <v>14060</v>
      </c>
      <c r="EQ9">
        <v>22208</v>
      </c>
      <c r="ER9">
        <v>70388</v>
      </c>
      <c r="ES9">
        <v>234857</v>
      </c>
      <c r="ET9">
        <v>471679</v>
      </c>
      <c r="EU9">
        <v>430067</v>
      </c>
      <c r="EV9">
        <v>397825</v>
      </c>
      <c r="EW9">
        <v>398147</v>
      </c>
      <c r="EX9">
        <v>286313</v>
      </c>
      <c r="EY9">
        <v>227375</v>
      </c>
      <c r="EZ9">
        <v>182145</v>
      </c>
      <c r="FA9">
        <v>31864</v>
      </c>
    </row>
    <row r="10" spans="2:157" ht="15.75" thickBot="1" x14ac:dyDescent="0.3">
      <c r="B10" s="123">
        <f t="shared" si="9"/>
        <v>41639</v>
      </c>
      <c r="C10" s="108">
        <v>7998.8587500000003</v>
      </c>
      <c r="D10" s="108">
        <v>37.36</v>
      </c>
      <c r="E10" s="108">
        <v>-3211.7959999999998</v>
      </c>
      <c r="F10" s="108">
        <v>4677.8315000000002</v>
      </c>
      <c r="G10" s="108">
        <v>851250.03890000016</v>
      </c>
      <c r="H10" s="108">
        <v>14431.522200000003</v>
      </c>
      <c r="I10" s="108">
        <v>43870.201400000005</v>
      </c>
      <c r="J10" s="108">
        <v>4110.4960000000001</v>
      </c>
      <c r="K10" s="108">
        <v>6100</v>
      </c>
      <c r="L10" s="108">
        <v>12426.399799999996</v>
      </c>
      <c r="M10" s="108">
        <v>52574.268030000007</v>
      </c>
      <c r="N10" s="108">
        <v>106392.48</v>
      </c>
      <c r="O10" s="108">
        <v>14713.596000000001</v>
      </c>
      <c r="P10" s="108">
        <v>2957.3550000000005</v>
      </c>
      <c r="Q10" s="109" t="s">
        <v>168</v>
      </c>
      <c r="R10" s="108">
        <v>6727.4051999999992</v>
      </c>
      <c r="S10" s="108">
        <v>200674.6312</v>
      </c>
      <c r="T10" s="108">
        <v>11547.689999999999</v>
      </c>
      <c r="U10" s="108">
        <v>17397</v>
      </c>
      <c r="V10" s="108">
        <v>5569.5830999999989</v>
      </c>
      <c r="W10" s="108">
        <v>6975.8341999999993</v>
      </c>
      <c r="X10" s="108">
        <v>85441.766599999988</v>
      </c>
      <c r="Y10" s="108">
        <v>170246.44255000001</v>
      </c>
      <c r="Z10" s="108">
        <v>213673.0747</v>
      </c>
      <c r="AA10" s="108">
        <v>215438.87299999999</v>
      </c>
      <c r="AB10" s="108">
        <v>294890.30394000001</v>
      </c>
      <c r="AC10" s="108">
        <v>3152.7746999999999</v>
      </c>
      <c r="AD10" s="108">
        <v>3800</v>
      </c>
      <c r="AE10" s="108">
        <v>4053.8231999999994</v>
      </c>
      <c r="AF10" s="108">
        <v>436.70715000000001</v>
      </c>
      <c r="AG10" s="182">
        <v>50.65</v>
      </c>
      <c r="AH10" s="185"/>
      <c r="AI10" s="72"/>
      <c r="AK10" s="203" t="str">
        <v>CHECITRIC</v>
      </c>
      <c r="AL10">
        <v>9693</v>
      </c>
      <c r="AM10">
        <v>9010</v>
      </c>
      <c r="AN10">
        <v>10517</v>
      </c>
      <c r="AO10">
        <v>15356.268000000002</v>
      </c>
      <c r="AP10">
        <v>8867.7059500000014</v>
      </c>
      <c r="AQ10">
        <v>14431.522200000003</v>
      </c>
      <c r="AR10">
        <v>7990.494999999999</v>
      </c>
      <c r="AS10">
        <v>20080.601200000001</v>
      </c>
      <c r="AT10">
        <v>10122.162700000001</v>
      </c>
      <c r="AU10">
        <v>20687.636800000007</v>
      </c>
      <c r="AV10">
        <v>11942.5591</v>
      </c>
      <c r="AW10">
        <v>5871.664600000001</v>
      </c>
      <c r="AX10">
        <v>12584.7837</v>
      </c>
      <c r="AY10">
        <v>1589.0163999999997</v>
      </c>
      <c r="AZ10">
        <v>4516.5770000000002</v>
      </c>
      <c r="BA10">
        <v>5731.8933000000006</v>
      </c>
      <c r="BB10">
        <v>3089.2186999999999</v>
      </c>
      <c r="BC10">
        <v>7773.1815999999981</v>
      </c>
      <c r="BD10">
        <v>13283.767</v>
      </c>
      <c r="BE10">
        <v>11129.164299999999</v>
      </c>
      <c r="BF10">
        <v>10918.019050000001</v>
      </c>
      <c r="BG10">
        <v>10221.483799999998</v>
      </c>
      <c r="BH10">
        <v>4945.5351499999997</v>
      </c>
      <c r="BI10">
        <v>6623.2277999999997</v>
      </c>
      <c r="BJ10">
        <v>6730.6342000000013</v>
      </c>
      <c r="BK10">
        <v>7124.7807999999995</v>
      </c>
      <c r="BL10">
        <v>10016.2415</v>
      </c>
      <c r="BM10">
        <v>3812.8856000000001</v>
      </c>
      <c r="BN10">
        <v>8457.9821999999986</v>
      </c>
      <c r="BO10">
        <v>7928.1654000000008</v>
      </c>
      <c r="BP10">
        <v>3358.8181999999997</v>
      </c>
      <c r="BQ10">
        <v>14785.383699999997</v>
      </c>
      <c r="BR10">
        <v>16365.507500000003</v>
      </c>
      <c r="BS10">
        <v>11332.528299999998</v>
      </c>
      <c r="BT10">
        <v>4310</v>
      </c>
      <c r="BU10">
        <v>3176.9860499999995</v>
      </c>
      <c r="BV10">
        <v>2623.3117999999999</v>
      </c>
      <c r="BW10">
        <v>4196.7423000000008</v>
      </c>
      <c r="BX10">
        <v>3389.6931599999998</v>
      </c>
      <c r="BY10">
        <v>10442.52075</v>
      </c>
      <c r="BZ10">
        <v>4228.4623599999995</v>
      </c>
      <c r="CA10">
        <v>8980.8931399999983</v>
      </c>
      <c r="CB10">
        <v>2261.9621999999999</v>
      </c>
      <c r="CC10">
        <v>11234.501079999998</v>
      </c>
      <c r="CD10">
        <v>7843.1705000000002</v>
      </c>
      <c r="CE10">
        <v>7192.2696999999998</v>
      </c>
      <c r="CF10">
        <v>4238.1542000000009</v>
      </c>
      <c r="CG10">
        <v>4636.7918</v>
      </c>
      <c r="CH10">
        <v>7414.9646000000002</v>
      </c>
      <c r="CI10">
        <v>2496.7219499999997</v>
      </c>
      <c r="CJ10">
        <v>3368.1629999999996</v>
      </c>
      <c r="CK10">
        <v>2229.8874999999998</v>
      </c>
      <c r="CL10">
        <v>4738.7875599999998</v>
      </c>
      <c r="CM10">
        <v>10661.858039999999</v>
      </c>
      <c r="CN10">
        <v>5986.7633999999998</v>
      </c>
      <c r="CO10">
        <v>7376.0789000000004</v>
      </c>
      <c r="CP10">
        <v>8946.1154000000006</v>
      </c>
      <c r="CQ10">
        <v>7053.1778000000004</v>
      </c>
      <c r="CR10">
        <v>10452.4018</v>
      </c>
      <c r="CS10">
        <v>2510.2282</v>
      </c>
      <c r="CT10">
        <v>2791.5537999999997</v>
      </c>
      <c r="CU10">
        <v>383.43</v>
      </c>
      <c r="CV10">
        <v>332</v>
      </c>
      <c r="CW10">
        <v>5948.24</v>
      </c>
      <c r="CX10">
        <v>4322.55</v>
      </c>
      <c r="CY10">
        <v>3208.3200999999999</v>
      </c>
      <c r="CZ10">
        <v>7148.4225000000006</v>
      </c>
      <c r="DA10">
        <v>9538.7641999999996</v>
      </c>
      <c r="DB10">
        <v>8791.3649999999998</v>
      </c>
      <c r="DC10">
        <v>8963.9044799999992</v>
      </c>
      <c r="DD10">
        <v>3186.3787999999995</v>
      </c>
      <c r="DE10">
        <v>2080.84</v>
      </c>
      <c r="DF10">
        <v>2497.8975</v>
      </c>
      <c r="DG10">
        <v>3696.1640500000003</v>
      </c>
      <c r="DH10">
        <v>2669.0455999999999</v>
      </c>
      <c r="DI10">
        <v>3693.0271000000002</v>
      </c>
      <c r="DJ10">
        <v>3040.8137500000003</v>
      </c>
      <c r="DK10">
        <v>907.53120000000001</v>
      </c>
      <c r="DL10">
        <v>6546.9130000000005</v>
      </c>
      <c r="DM10">
        <v>16196.923550000001</v>
      </c>
      <c r="DN10">
        <v>7573.1125000000011</v>
      </c>
      <c r="DO10">
        <v>5320.0535</v>
      </c>
      <c r="DP10">
        <v>2328.8173000000002</v>
      </c>
      <c r="DQ10">
        <v>7444.3652999999995</v>
      </c>
      <c r="DR10">
        <v>2428.3952000000004</v>
      </c>
      <c r="DS10">
        <v>1259.5118500000001</v>
      </c>
      <c r="DT10">
        <v>5644.3060999999989</v>
      </c>
      <c r="DU10">
        <v>4618.8696</v>
      </c>
      <c r="DV10">
        <v>3690.4746</v>
      </c>
      <c r="DW10">
        <v>1895.4638000000002</v>
      </c>
      <c r="DX10">
        <v>5427.9764000000005</v>
      </c>
      <c r="DY10">
        <v>18861.147700000001</v>
      </c>
      <c r="DZ10">
        <v>11778.716049999997</v>
      </c>
      <c r="EA10">
        <v>3765.2505000000001</v>
      </c>
      <c r="EB10">
        <v>5834</v>
      </c>
      <c r="EC10">
        <v>2093</v>
      </c>
      <c r="ED10">
        <v>2612.17</v>
      </c>
      <c r="EE10">
        <v>4140.3599999999997</v>
      </c>
      <c r="EF10">
        <v>1054.79</v>
      </c>
      <c r="EG10">
        <v>2735.83</v>
      </c>
      <c r="EH10">
        <v>5730.52</v>
      </c>
      <c r="EI10">
        <v>3876.66</v>
      </c>
      <c r="EJ10">
        <v>7320.86</v>
      </c>
      <c r="EK10">
        <v>21353.54</v>
      </c>
      <c r="EL10">
        <v>8784</v>
      </c>
      <c r="EM10">
        <v>4967.5200000000004</v>
      </c>
      <c r="EN10">
        <v>4801.78</v>
      </c>
      <c r="EO10">
        <v>25468.14</v>
      </c>
      <c r="EP10">
        <v>4393</v>
      </c>
      <c r="EQ10">
        <v>1084</v>
      </c>
      <c r="ER10">
        <v>19221</v>
      </c>
      <c r="ES10">
        <v>784</v>
      </c>
      <c r="ET10">
        <v>3765</v>
      </c>
      <c r="EU10">
        <v>6946</v>
      </c>
      <c r="EV10">
        <v>8865</v>
      </c>
      <c r="EW10">
        <v>18349</v>
      </c>
      <c r="EX10">
        <v>4990</v>
      </c>
      <c r="EY10">
        <v>2892</v>
      </c>
      <c r="EZ10">
        <v>4259</v>
      </c>
      <c r="FA10">
        <v>315</v>
      </c>
    </row>
    <row r="11" spans="2:157" x14ac:dyDescent="0.25">
      <c r="B11" s="123">
        <f t="shared" si="9"/>
        <v>41670</v>
      </c>
      <c r="C11" s="114">
        <v>11122.18</v>
      </c>
      <c r="D11" s="114">
        <v>16730.427250000001</v>
      </c>
      <c r="E11" s="114">
        <v>3.6844000000000001</v>
      </c>
      <c r="F11" s="114">
        <v>8864.9188999999988</v>
      </c>
      <c r="G11" s="114">
        <v>719713.34447999997</v>
      </c>
      <c r="H11" s="114">
        <v>7990.494999999999</v>
      </c>
      <c r="I11" s="114">
        <v>68949.43140999999</v>
      </c>
      <c r="J11" s="114">
        <v>7597.7216000000008</v>
      </c>
      <c r="K11" s="114">
        <v>14685.025010000001</v>
      </c>
      <c r="L11" s="114">
        <v>10311.277700000001</v>
      </c>
      <c r="M11" s="114">
        <v>46864.560700000002</v>
      </c>
      <c r="N11" s="114">
        <v>81441.628800000006</v>
      </c>
      <c r="O11" s="114">
        <v>4956.2963999999993</v>
      </c>
      <c r="P11" s="114">
        <v>3934.3130000000001</v>
      </c>
      <c r="Q11" s="115" t="s">
        <v>168</v>
      </c>
      <c r="R11" s="114">
        <v>9764.7391000000007</v>
      </c>
      <c r="S11" s="114">
        <v>158161</v>
      </c>
      <c r="T11" s="114">
        <v>19584.151400000002</v>
      </c>
      <c r="U11" s="114">
        <v>24871.95191</v>
      </c>
      <c r="V11" s="114">
        <v>19339.222549999999</v>
      </c>
      <c r="W11" s="114">
        <v>11324.35</v>
      </c>
      <c r="X11" s="114">
        <v>153130.92029999997</v>
      </c>
      <c r="Y11" s="114">
        <v>238923.70079999999</v>
      </c>
      <c r="Z11" s="114">
        <v>189651.9914</v>
      </c>
      <c r="AA11" s="114">
        <v>260118.32459999999</v>
      </c>
      <c r="AB11" s="114">
        <v>219008.30394000001</v>
      </c>
      <c r="AC11" s="114">
        <v>11414.670799999998</v>
      </c>
      <c r="AD11" s="114">
        <v>8996.6254500000014</v>
      </c>
      <c r="AE11" s="114">
        <v>8488.0069000000021</v>
      </c>
      <c r="AF11" s="91">
        <v>1423.3697999999999</v>
      </c>
      <c r="AG11" s="180">
        <v>375.87</v>
      </c>
      <c r="AH11" s="185"/>
      <c r="AI11" s="72"/>
      <c r="AK11" s="203" t="str">
        <v>CHEGLUCO</v>
      </c>
      <c r="AL11">
        <v>88526</v>
      </c>
      <c r="AM11">
        <v>52356</v>
      </c>
      <c r="AN11">
        <v>34856.6</v>
      </c>
      <c r="AO11">
        <v>70175.240139999994</v>
      </c>
      <c r="AP11">
        <v>38209.317399999993</v>
      </c>
      <c r="AQ11">
        <v>43870.201400000005</v>
      </c>
      <c r="AR11">
        <v>68949.43140999999</v>
      </c>
      <c r="AS11">
        <v>97122.573339999988</v>
      </c>
      <c r="AT11">
        <v>95738.141400000008</v>
      </c>
      <c r="AU11">
        <v>150580.22389999998</v>
      </c>
      <c r="AV11">
        <v>55797.156630000005</v>
      </c>
      <c r="AW11">
        <v>119844.54319999997</v>
      </c>
      <c r="AX11">
        <v>84416.622910000006</v>
      </c>
      <c r="AY11">
        <v>76834.470560000002</v>
      </c>
      <c r="AZ11">
        <v>-10125.788430000015</v>
      </c>
      <c r="BA11">
        <v>50315.293009999994</v>
      </c>
      <c r="BB11">
        <v>20538.982110000001</v>
      </c>
      <c r="BC11">
        <v>28574.524890000001</v>
      </c>
      <c r="BD11">
        <v>60946.992160000002</v>
      </c>
      <c r="BE11">
        <v>71036.96974</v>
      </c>
      <c r="BF11">
        <v>93727.019719999982</v>
      </c>
      <c r="BG11">
        <v>157295.12386999995</v>
      </c>
      <c r="BH11">
        <v>96082.072849999997</v>
      </c>
      <c r="BI11">
        <v>69066.659599999999</v>
      </c>
      <c r="BJ11">
        <v>87446.86348</v>
      </c>
      <c r="BK11">
        <v>47509.562079999989</v>
      </c>
      <c r="BL11">
        <v>80389.88413999998</v>
      </c>
      <c r="BM11">
        <v>35481.96</v>
      </c>
      <c r="BN11">
        <v>40022.562069999993</v>
      </c>
      <c r="BO11">
        <v>36275.738799999999</v>
      </c>
      <c r="BP11">
        <v>46831.670299999998</v>
      </c>
      <c r="BQ11">
        <v>77502.321719999993</v>
      </c>
      <c r="BR11">
        <v>88694.425789999979</v>
      </c>
      <c r="BS11">
        <v>162499.46252000003</v>
      </c>
      <c r="BT11">
        <v>88167.160979999986</v>
      </c>
      <c r="BU11">
        <v>131863.13257000005</v>
      </c>
      <c r="BV11">
        <v>55435.367649999986</v>
      </c>
      <c r="BW11">
        <v>68187.354289999988</v>
      </c>
      <c r="BX11">
        <v>49868.661519999994</v>
      </c>
      <c r="BY11">
        <v>27883.869690000003</v>
      </c>
      <c r="BZ11">
        <v>27157.038699999997</v>
      </c>
      <c r="CA11">
        <v>25642.00848</v>
      </c>
      <c r="CB11">
        <v>60858.829870000001</v>
      </c>
      <c r="CC11">
        <v>87400.089639999991</v>
      </c>
      <c r="CD11">
        <v>56674.661419999989</v>
      </c>
      <c r="CE11">
        <v>79692.388780000038</v>
      </c>
      <c r="CF11">
        <v>81249.655169999984</v>
      </c>
      <c r="CG11">
        <v>75411.016060000038</v>
      </c>
      <c r="CH11">
        <v>71955.59083999999</v>
      </c>
      <c r="CI11">
        <v>25893.263400000003</v>
      </c>
      <c r="CJ11">
        <v>11167.891629999998</v>
      </c>
      <c r="CK11">
        <v>32663.981899999999</v>
      </c>
      <c r="CL11">
        <v>30456.459649999997</v>
      </c>
      <c r="CM11">
        <v>10689.3778</v>
      </c>
      <c r="CN11">
        <v>43955.296180000005</v>
      </c>
      <c r="CO11">
        <v>75088.024400000009</v>
      </c>
      <c r="CP11">
        <v>96401.690199999983</v>
      </c>
      <c r="CQ11">
        <v>68719.636050000001</v>
      </c>
      <c r="CR11">
        <v>86488.463219999991</v>
      </c>
      <c r="CS11">
        <v>58026.80717</v>
      </c>
      <c r="CT11">
        <v>52585.131119999984</v>
      </c>
      <c r="CU11">
        <v>23882.943719999999</v>
      </c>
      <c r="CV11">
        <v>31813.267800000009</v>
      </c>
      <c r="CW11">
        <v>26366.281060000001</v>
      </c>
      <c r="CX11">
        <v>20841.92568</v>
      </c>
      <c r="CY11">
        <v>22688.82</v>
      </c>
      <c r="CZ11">
        <v>46921.452409999998</v>
      </c>
      <c r="DA11">
        <v>97343.051760000075</v>
      </c>
      <c r="DB11">
        <v>68416.038840000008</v>
      </c>
      <c r="DC11">
        <v>97038.442350000027</v>
      </c>
      <c r="DD11">
        <v>67670.779559999981</v>
      </c>
      <c r="DE11">
        <v>58156.338900000002</v>
      </c>
      <c r="DF11">
        <v>60867.502829999983</v>
      </c>
      <c r="DG11">
        <v>27283.696880000007</v>
      </c>
      <c r="DH11">
        <v>22079.534149999996</v>
      </c>
      <c r="DI11">
        <v>20304.28269</v>
      </c>
      <c r="DJ11">
        <v>13203.185000000001</v>
      </c>
      <c r="DK11">
        <v>39352.511399999996</v>
      </c>
      <c r="DL11">
        <v>73756.142860000007</v>
      </c>
      <c r="DM11">
        <v>87434.748260000008</v>
      </c>
      <c r="DN11">
        <v>116187.39109</v>
      </c>
      <c r="DO11">
        <v>61998.555609999996</v>
      </c>
      <c r="DP11">
        <v>28227.905830000003</v>
      </c>
      <c r="DQ11">
        <v>72056.49807999999</v>
      </c>
      <c r="DR11">
        <v>34848.238159999994</v>
      </c>
      <c r="DS11">
        <v>49457.688069999975</v>
      </c>
      <c r="DT11">
        <v>23935.486490000003</v>
      </c>
      <c r="DU11">
        <v>42942.365129999998</v>
      </c>
      <c r="DV11">
        <v>21154.819300000003</v>
      </c>
      <c r="DW11">
        <v>50102.762749999994</v>
      </c>
      <c r="DX11">
        <v>36907.285840000004</v>
      </c>
      <c r="DY11">
        <v>85478.480660000001</v>
      </c>
      <c r="DZ11">
        <v>83365.814129999999</v>
      </c>
      <c r="EA11">
        <v>78113.903740000009</v>
      </c>
      <c r="EB11">
        <v>64721.724749999994</v>
      </c>
      <c r="EC11">
        <v>36610.231650000009</v>
      </c>
      <c r="ED11">
        <v>45990.85</v>
      </c>
      <c r="EE11">
        <v>5061.41</v>
      </c>
      <c r="EF11">
        <v>38321.620000000003</v>
      </c>
      <c r="EG11">
        <v>13610.98</v>
      </c>
      <c r="EH11">
        <v>18625.740000000002</v>
      </c>
      <c r="EI11">
        <v>50029.27</v>
      </c>
      <c r="EJ11">
        <v>79249.06</v>
      </c>
      <c r="EK11">
        <v>72535.53</v>
      </c>
      <c r="EL11">
        <v>62116</v>
      </c>
      <c r="EM11">
        <v>62735.7</v>
      </c>
      <c r="EN11">
        <v>43932.62</v>
      </c>
      <c r="EO11">
        <v>31128.400000000001</v>
      </c>
      <c r="EP11">
        <v>28295</v>
      </c>
      <c r="EQ11">
        <v>20279</v>
      </c>
      <c r="ER11">
        <v>11225</v>
      </c>
      <c r="ES11">
        <v>13771</v>
      </c>
      <c r="ET11">
        <v>21191</v>
      </c>
      <c r="EU11">
        <v>27936</v>
      </c>
      <c r="EV11">
        <v>25614</v>
      </c>
      <c r="EW11">
        <v>60362</v>
      </c>
      <c r="EX11">
        <v>33342</v>
      </c>
      <c r="EY11">
        <v>52057</v>
      </c>
      <c r="EZ11">
        <v>54671</v>
      </c>
      <c r="FA11">
        <v>25838</v>
      </c>
    </row>
    <row r="12" spans="2:157" x14ac:dyDescent="0.25">
      <c r="B12" s="123">
        <f t="shared" si="9"/>
        <v>41698</v>
      </c>
      <c r="C12" s="111">
        <v>5730.8015999999998</v>
      </c>
      <c r="D12" s="111">
        <v>24330.2837</v>
      </c>
      <c r="E12" s="111">
        <v>1627.296</v>
      </c>
      <c r="F12" s="111">
        <v>15122.849799999998</v>
      </c>
      <c r="G12" s="111">
        <v>736100.1667200001</v>
      </c>
      <c r="H12" s="111">
        <v>20080.601200000001</v>
      </c>
      <c r="I12" s="111">
        <v>97122.573339999988</v>
      </c>
      <c r="J12" s="111">
        <v>8401.032250000002</v>
      </c>
      <c r="K12" s="111">
        <v>7397.4956400000001</v>
      </c>
      <c r="L12" s="111">
        <v>13285.3976</v>
      </c>
      <c r="M12" s="111">
        <v>8256.7885000000006</v>
      </c>
      <c r="N12" s="111">
        <v>34316.494399999996</v>
      </c>
      <c r="O12" s="111">
        <v>5051.5515000000005</v>
      </c>
      <c r="P12" s="111">
        <v>3241.71</v>
      </c>
      <c r="Q12" s="112" t="s">
        <v>168</v>
      </c>
      <c r="R12" s="111">
        <v>2977.0084000000002</v>
      </c>
      <c r="S12" s="111">
        <v>151435</v>
      </c>
      <c r="T12" s="111">
        <v>41658.176999999996</v>
      </c>
      <c r="U12" s="111">
        <v>13154.546039999999</v>
      </c>
      <c r="V12" s="111">
        <v>17035.224049999997</v>
      </c>
      <c r="W12" s="111">
        <v>6772.0315000000001</v>
      </c>
      <c r="X12" s="111">
        <v>96290.159899999999</v>
      </c>
      <c r="Y12" s="111">
        <v>146164.71979999999</v>
      </c>
      <c r="Z12" s="111">
        <v>169524.8026</v>
      </c>
      <c r="AA12" s="111">
        <v>182641.56359999999</v>
      </c>
      <c r="AB12" s="111">
        <v>226647</v>
      </c>
      <c r="AC12" s="111">
        <v>11850.041850000001</v>
      </c>
      <c r="AD12" s="111">
        <v>9804.1362000000008</v>
      </c>
      <c r="AE12" s="111">
        <v>15137.246250000002</v>
      </c>
      <c r="AF12" s="111">
        <v>1492.7882999999999</v>
      </c>
      <c r="AG12" s="181">
        <v>0</v>
      </c>
      <c r="AH12" s="185"/>
      <c r="AI12" s="72"/>
      <c r="AK12" s="203" t="str">
        <v>GRPHUMICLIQ</v>
      </c>
      <c r="AL12">
        <v>6805.1</v>
      </c>
      <c r="AM12">
        <v>6759.8</v>
      </c>
      <c r="AN12">
        <v>2520.6</v>
      </c>
      <c r="AO12">
        <v>4112.0495000000001</v>
      </c>
      <c r="AP12">
        <v>8621.4441000000024</v>
      </c>
      <c r="AQ12">
        <v>4110.4960000000001</v>
      </c>
      <c r="AR12">
        <v>7597.7216000000008</v>
      </c>
      <c r="AS12">
        <v>8401.032250000002</v>
      </c>
      <c r="AT12">
        <v>11703.239200000004</v>
      </c>
      <c r="AU12">
        <v>6870.7953999999982</v>
      </c>
      <c r="AV12">
        <v>5741.983000000002</v>
      </c>
      <c r="AW12">
        <v>5446.1614000000009</v>
      </c>
      <c r="AX12">
        <v>12986.909339999995</v>
      </c>
      <c r="AY12">
        <v>8046.8694000000014</v>
      </c>
      <c r="AZ12">
        <v>2560.9073899999999</v>
      </c>
      <c r="BA12">
        <v>3606.1657999999998</v>
      </c>
      <c r="BB12">
        <v>1954.0536000000002</v>
      </c>
      <c r="BC12">
        <v>4017.1949499999996</v>
      </c>
      <c r="BD12">
        <v>4048.9937399999994</v>
      </c>
      <c r="BE12">
        <v>6645.2084999999997</v>
      </c>
      <c r="BF12">
        <v>13050.884959999998</v>
      </c>
      <c r="BG12">
        <v>9016.2241900000008</v>
      </c>
      <c r="BH12">
        <v>2814.6058500000004</v>
      </c>
      <c r="BI12">
        <v>4305.0510000000004</v>
      </c>
      <c r="BJ12">
        <v>2255.6361499999998</v>
      </c>
      <c r="BK12">
        <v>1597.7964400000001</v>
      </c>
      <c r="BL12">
        <v>2930.4992499999998</v>
      </c>
      <c r="BM12">
        <v>3785.8807999999999</v>
      </c>
      <c r="BN12">
        <v>203.63264999999998</v>
      </c>
      <c r="BO12">
        <v>2738.5464400000001</v>
      </c>
      <c r="BP12">
        <v>2491.2000299999995</v>
      </c>
      <c r="BQ12">
        <v>10284.800790000005</v>
      </c>
      <c r="BR12">
        <v>9407.7864000000009</v>
      </c>
      <c r="BS12">
        <v>6808.5284000000001</v>
      </c>
      <c r="BT12">
        <v>7603.887099999999</v>
      </c>
      <c r="BU12">
        <v>13129.943700000002</v>
      </c>
      <c r="BV12">
        <v>4994.3539099999989</v>
      </c>
      <c r="BW12">
        <v>2674.2318500000001</v>
      </c>
      <c r="BX12">
        <v>4616.3565999999992</v>
      </c>
      <c r="BY12">
        <v>4450.72</v>
      </c>
      <c r="BZ12">
        <v>1862.65211</v>
      </c>
      <c r="CA12">
        <v>2494.6753399999998</v>
      </c>
      <c r="CB12">
        <v>4733.461150000001</v>
      </c>
      <c r="CC12">
        <v>6289.3672699999997</v>
      </c>
      <c r="CD12">
        <v>6721.4284000000007</v>
      </c>
      <c r="CE12">
        <v>6966.6566000000003</v>
      </c>
      <c r="CF12">
        <v>10093.376699999997</v>
      </c>
      <c r="CG12">
        <v>10093.678299999998</v>
      </c>
      <c r="CH12">
        <v>6771.8930499999997</v>
      </c>
      <c r="CI12">
        <v>1830.6970000000001</v>
      </c>
      <c r="CJ12">
        <v>1901.3123499999999</v>
      </c>
      <c r="CK12">
        <v>4801.173600000001</v>
      </c>
      <c r="CL12">
        <v>1174.95982</v>
      </c>
      <c r="CM12">
        <v>3076.8866800000001</v>
      </c>
      <c r="CN12">
        <v>5233.8929999999991</v>
      </c>
      <c r="CO12">
        <v>12662.5996</v>
      </c>
      <c r="CP12">
        <v>10478.525700000002</v>
      </c>
      <c r="CQ12">
        <v>6611.1976500000001</v>
      </c>
      <c r="CR12">
        <v>12608.29413</v>
      </c>
      <c r="CS12">
        <v>6497.3402499999993</v>
      </c>
      <c r="CT12">
        <v>3044.6792999999998</v>
      </c>
      <c r="CU12">
        <v>2260.7019999999998</v>
      </c>
      <c r="CV12">
        <v>3254.1600000000003</v>
      </c>
      <c r="CW12">
        <v>11922.386349999999</v>
      </c>
      <c r="CX12">
        <v>1518.4126000000001</v>
      </c>
      <c r="CY12">
        <v>1696.52505</v>
      </c>
      <c r="CZ12">
        <v>5543.4952300000004</v>
      </c>
      <c r="DA12">
        <v>14672.651800000009</v>
      </c>
      <c r="DB12">
        <v>4984.6022000000003</v>
      </c>
      <c r="DC12">
        <v>5403.2864999999993</v>
      </c>
      <c r="DD12">
        <v>3052.1196</v>
      </c>
      <c r="DE12">
        <v>6911.6467299999995</v>
      </c>
      <c r="DF12">
        <v>3220.1040999999996</v>
      </c>
      <c r="DG12">
        <v>2647.7566999999999</v>
      </c>
      <c r="DH12">
        <v>2130.2613000000001</v>
      </c>
      <c r="DI12">
        <v>3871.9372499999999</v>
      </c>
      <c r="DJ12">
        <v>1963.7496500000002</v>
      </c>
      <c r="DK12">
        <v>2911.0010499999999</v>
      </c>
      <c r="DL12">
        <v>5764.4081999999999</v>
      </c>
      <c r="DM12">
        <v>8072.8755499999997</v>
      </c>
      <c r="DN12">
        <v>16775.73863</v>
      </c>
      <c r="DO12">
        <v>46530.476799999997</v>
      </c>
      <c r="DP12">
        <v>7065.80728</v>
      </c>
      <c r="DQ12">
        <v>6152.287260000001</v>
      </c>
      <c r="DR12">
        <v>3727.9338000000002</v>
      </c>
      <c r="DS12">
        <v>5080.3427599999995</v>
      </c>
      <c r="DT12">
        <v>2486.2382499999999</v>
      </c>
      <c r="DU12">
        <v>1505.4456</v>
      </c>
      <c r="DV12">
        <v>1703.7079500000002</v>
      </c>
      <c r="DW12">
        <v>3144.1633999999999</v>
      </c>
      <c r="DX12">
        <v>5008.4481900000001</v>
      </c>
      <c r="DY12">
        <v>16661.616949999996</v>
      </c>
      <c r="DZ12">
        <v>33915.40628000001</v>
      </c>
      <c r="EA12">
        <v>10880.803329999999</v>
      </c>
      <c r="EB12">
        <v>7444.6752500000002</v>
      </c>
      <c r="EC12">
        <v>8453.354470000002</v>
      </c>
      <c r="ED12">
        <v>12727.96</v>
      </c>
      <c r="EE12">
        <v>1571.42</v>
      </c>
      <c r="EF12">
        <v>2781.48</v>
      </c>
      <c r="EG12">
        <v>4235.8100000000004</v>
      </c>
      <c r="EH12">
        <v>45952.959999999999</v>
      </c>
      <c r="EI12">
        <v>3845.96</v>
      </c>
      <c r="EJ12">
        <v>14270.72</v>
      </c>
      <c r="EK12">
        <v>6461.51</v>
      </c>
      <c r="EL12">
        <v>7893.2</v>
      </c>
      <c r="EM12">
        <v>9928.44</v>
      </c>
      <c r="EN12">
        <v>5986.19</v>
      </c>
      <c r="EO12">
        <v>9243.51</v>
      </c>
      <c r="EP12">
        <v>2133</v>
      </c>
      <c r="EQ12">
        <v>1285</v>
      </c>
      <c r="ER12">
        <v>695</v>
      </c>
      <c r="ES12">
        <v>4539</v>
      </c>
      <c r="ET12">
        <v>5614</v>
      </c>
      <c r="EU12">
        <v>7818</v>
      </c>
      <c r="EV12">
        <v>4692</v>
      </c>
      <c r="EW12">
        <v>4895</v>
      </c>
      <c r="EX12">
        <v>6906</v>
      </c>
      <c r="EY12">
        <v>11291</v>
      </c>
      <c r="EZ12">
        <v>7838</v>
      </c>
      <c r="FA12">
        <v>5492</v>
      </c>
    </row>
    <row r="13" spans="2:157" ht="15.75" thickBot="1" x14ac:dyDescent="0.3">
      <c r="B13" s="123">
        <f t="shared" si="9"/>
        <v>41729</v>
      </c>
      <c r="C13" s="108">
        <v>27551.422399999999</v>
      </c>
      <c r="D13" s="108">
        <v>18221.653999999999</v>
      </c>
      <c r="E13" s="108">
        <v>177</v>
      </c>
      <c r="F13" s="108">
        <v>14807.842859999995</v>
      </c>
      <c r="G13" s="108">
        <v>429159.58856</v>
      </c>
      <c r="H13" s="108">
        <v>10122.162700000001</v>
      </c>
      <c r="I13" s="108">
        <v>95738.141400000008</v>
      </c>
      <c r="J13" s="108">
        <v>11703.239200000004</v>
      </c>
      <c r="K13" s="108">
        <v>20231.4316</v>
      </c>
      <c r="L13" s="108">
        <v>12965.92</v>
      </c>
      <c r="M13" s="108">
        <v>10873.876799999998</v>
      </c>
      <c r="N13" s="108">
        <v>26808.791999999998</v>
      </c>
      <c r="O13" s="108">
        <v>15581.865600000001</v>
      </c>
      <c r="P13" s="108">
        <v>6816.0525000000016</v>
      </c>
      <c r="Q13" s="109" t="s">
        <v>168</v>
      </c>
      <c r="R13" s="108">
        <v>9630.5906999999988</v>
      </c>
      <c r="S13" s="108">
        <v>122180.4748</v>
      </c>
      <c r="T13" s="108">
        <v>47352.438999999998</v>
      </c>
      <c r="U13" s="108">
        <v>86332.448199999999</v>
      </c>
      <c r="V13" s="108">
        <v>18936.261499999997</v>
      </c>
      <c r="W13" s="108">
        <v>32418.374799999998</v>
      </c>
      <c r="X13" s="108">
        <v>44235.737600000008</v>
      </c>
      <c r="Y13" s="108">
        <v>121230.67199999999</v>
      </c>
      <c r="Z13" s="108">
        <v>149390</v>
      </c>
      <c r="AA13" s="108">
        <v>138561.117</v>
      </c>
      <c r="AB13" s="108">
        <v>362808</v>
      </c>
      <c r="AC13" s="108">
        <v>11235.411799999998</v>
      </c>
      <c r="AD13" s="108">
        <v>100877.99520000002</v>
      </c>
      <c r="AE13" s="108">
        <v>22520.9794</v>
      </c>
      <c r="AF13" s="108">
        <v>1305.3505</v>
      </c>
      <c r="AG13" s="182">
        <v>0</v>
      </c>
      <c r="AH13" s="185"/>
      <c r="AI13" s="72"/>
      <c r="AK13" s="203" t="str">
        <v>NO3FE</v>
      </c>
      <c r="AL13">
        <v>10208</v>
      </c>
      <c r="AM13">
        <v>2753</v>
      </c>
      <c r="AN13">
        <v>9039</v>
      </c>
      <c r="AO13">
        <v>10720.586139999999</v>
      </c>
      <c r="AP13">
        <v>1152.4742000000001</v>
      </c>
      <c r="AQ13">
        <v>6100</v>
      </c>
      <c r="AR13">
        <v>14685.025010000001</v>
      </c>
      <c r="AS13">
        <v>7397.4956400000001</v>
      </c>
      <c r="AT13">
        <v>20231.4316</v>
      </c>
      <c r="AU13">
        <v>26308.177100000001</v>
      </c>
      <c r="AV13">
        <v>21118.785659999998</v>
      </c>
      <c r="AW13">
        <v>11089.454300000001</v>
      </c>
      <c r="AX13">
        <v>16493.370699999999</v>
      </c>
      <c r="AY13">
        <v>14036.247139999998</v>
      </c>
      <c r="AZ13">
        <v>2206.3168999999998</v>
      </c>
      <c r="BA13">
        <v>15949.488599999999</v>
      </c>
      <c r="BB13">
        <v>1048.70354</v>
      </c>
      <c r="BC13">
        <v>1192.173</v>
      </c>
      <c r="BD13">
        <v>40233.395200000006</v>
      </c>
      <c r="BE13">
        <v>797.64848999999981</v>
      </c>
      <c r="BF13">
        <v>13067.235639999999</v>
      </c>
      <c r="BG13">
        <v>15574.86832</v>
      </c>
      <c r="BH13">
        <v>17781.701399999994</v>
      </c>
      <c r="BI13">
        <v>14431.3164</v>
      </c>
      <c r="BJ13">
        <v>7794.2575000000006</v>
      </c>
      <c r="BK13">
        <v>61113.7376</v>
      </c>
      <c r="BL13">
        <v>6868.8557800000008</v>
      </c>
      <c r="BM13">
        <v>12421.734400000001</v>
      </c>
      <c r="BN13">
        <v>7376.5615400000006</v>
      </c>
      <c r="BO13">
        <v>7169.3435799999997</v>
      </c>
      <c r="BP13">
        <v>7561.3576799999992</v>
      </c>
      <c r="BQ13">
        <v>18435.266659999998</v>
      </c>
      <c r="BR13">
        <v>70973.921940000015</v>
      </c>
      <c r="BS13">
        <v>19537.354419999996</v>
      </c>
      <c r="BT13">
        <v>28119.040280000001</v>
      </c>
      <c r="BU13">
        <v>22894.786689999994</v>
      </c>
      <c r="BV13">
        <v>11461.9704</v>
      </c>
      <c r="BW13">
        <v>9290.7464299999992</v>
      </c>
      <c r="BX13">
        <v>9229.742040000001</v>
      </c>
      <c r="BY13">
        <v>11137.215040000001</v>
      </c>
      <c r="BZ13">
        <v>39173.551509999998</v>
      </c>
      <c r="CA13">
        <v>20011.150079999999</v>
      </c>
      <c r="CB13">
        <v>58407.007879999997</v>
      </c>
      <c r="CC13">
        <v>100404.74176999998</v>
      </c>
      <c r="CD13">
        <v>144792.28239999997</v>
      </c>
      <c r="CE13">
        <v>181609.38472</v>
      </c>
      <c r="CF13">
        <v>216276.1835999999</v>
      </c>
      <c r="CG13">
        <v>91581.423800000004</v>
      </c>
      <c r="CH13">
        <v>83594.191199999987</v>
      </c>
      <c r="CI13">
        <v>97185.627299999993</v>
      </c>
      <c r="CJ13">
        <v>15329.57424</v>
      </c>
      <c r="CK13">
        <v>79363.762200000026</v>
      </c>
      <c r="CL13">
        <v>60534.281940000001</v>
      </c>
      <c r="CM13">
        <v>71973.572120000012</v>
      </c>
      <c r="CN13">
        <v>28440.048799999997</v>
      </c>
      <c r="CO13">
        <v>235326.89414999995</v>
      </c>
      <c r="CP13">
        <v>214234.9632</v>
      </c>
      <c r="CQ13">
        <v>133371.40459999998</v>
      </c>
      <c r="CR13">
        <v>169728.16179999994</v>
      </c>
      <c r="CS13">
        <v>100281.42444</v>
      </c>
      <c r="CT13">
        <v>93804.399600000004</v>
      </c>
      <c r="CU13">
        <v>122061.54115999998</v>
      </c>
      <c r="CV13">
        <v>92430.914999999979</v>
      </c>
      <c r="CW13">
        <v>139051.25271999996</v>
      </c>
      <c r="CX13">
        <v>81963.464399999983</v>
      </c>
      <c r="CY13">
        <v>32517.399999999994</v>
      </c>
      <c r="CZ13">
        <v>69995.463199999998</v>
      </c>
      <c r="DA13">
        <v>180691.10720000003</v>
      </c>
      <c r="DB13">
        <v>146570.90720000002</v>
      </c>
      <c r="DC13">
        <v>76526.743399999992</v>
      </c>
      <c r="DD13">
        <v>218977.64833999999</v>
      </c>
      <c r="DE13">
        <v>40696.932959999998</v>
      </c>
      <c r="DF13">
        <v>89313.508600000016</v>
      </c>
      <c r="DG13">
        <v>69052.491119999991</v>
      </c>
      <c r="DH13">
        <v>39989.9804</v>
      </c>
      <c r="DI13">
        <v>124587.68759999998</v>
      </c>
      <c r="DJ13">
        <v>17616.668659999999</v>
      </c>
      <c r="DK13">
        <v>39229.0772</v>
      </c>
      <c r="DL13">
        <v>59701.579600000005</v>
      </c>
      <c r="DM13">
        <v>69281.137620000009</v>
      </c>
      <c r="DN13">
        <v>152429.11997999999</v>
      </c>
      <c r="DO13">
        <v>48114.554400000001</v>
      </c>
      <c r="DP13">
        <v>117250.89269999998</v>
      </c>
      <c r="DQ13">
        <v>97195.550799999983</v>
      </c>
      <c r="DR13">
        <v>46984.839599999992</v>
      </c>
      <c r="DS13">
        <v>57905.535199999991</v>
      </c>
      <c r="DT13">
        <v>67089.662700000015</v>
      </c>
      <c r="DU13">
        <v>60446.539679999987</v>
      </c>
      <c r="DV13">
        <v>0</v>
      </c>
      <c r="DW13">
        <v>40111.167000000001</v>
      </c>
      <c r="DX13">
        <v>39453.005599999997</v>
      </c>
      <c r="DY13">
        <v>45499.379000000001</v>
      </c>
      <c r="DZ13">
        <v>96943.372399999978</v>
      </c>
      <c r="EA13">
        <v>26156.191600000006</v>
      </c>
      <c r="EB13">
        <v>133135.33420000001</v>
      </c>
      <c r="EC13">
        <v>137300.11319999999</v>
      </c>
      <c r="ED13">
        <v>71664.91</v>
      </c>
      <c r="EE13">
        <v>61044.72</v>
      </c>
      <c r="EF13">
        <v>20537.57</v>
      </c>
      <c r="EG13">
        <v>56523.360000000001</v>
      </c>
      <c r="EH13">
        <v>150</v>
      </c>
      <c r="EI13">
        <v>60</v>
      </c>
      <c r="EJ13">
        <v>47930.6</v>
      </c>
      <c r="EK13">
        <v>32273.51</v>
      </c>
      <c r="EL13">
        <v>84139.91</v>
      </c>
      <c r="EM13">
        <v>25611.21</v>
      </c>
      <c r="EN13">
        <v>57474.32</v>
      </c>
      <c r="EO13">
        <v>23013.86</v>
      </c>
      <c r="EP13">
        <v>53470</v>
      </c>
      <c r="EQ13">
        <v>27332</v>
      </c>
      <c r="ER13">
        <v>16710</v>
      </c>
      <c r="ES13">
        <v>15</v>
      </c>
      <c r="ET13">
        <v>0</v>
      </c>
      <c r="EU13">
        <v>29253</v>
      </c>
      <c r="EV13">
        <v>0</v>
      </c>
      <c r="EW13">
        <v>35222</v>
      </c>
      <c r="EX13">
        <v>57323</v>
      </c>
      <c r="EY13">
        <v>24746</v>
      </c>
      <c r="EZ13">
        <v>24223</v>
      </c>
      <c r="FA13">
        <v>35648</v>
      </c>
    </row>
    <row r="14" spans="2:157" x14ac:dyDescent="0.25">
      <c r="B14" s="123">
        <f t="shared" si="9"/>
        <v>41759</v>
      </c>
      <c r="C14" s="114">
        <v>6460.9148999999998</v>
      </c>
      <c r="D14" s="114">
        <v>3776.7682500000001</v>
      </c>
      <c r="E14" s="114">
        <v>13703.217699999999</v>
      </c>
      <c r="F14" s="114">
        <v>10637.225200000001</v>
      </c>
      <c r="G14" s="114">
        <v>403700.06047999999</v>
      </c>
      <c r="H14" s="114">
        <v>20687.636800000007</v>
      </c>
      <c r="I14" s="114">
        <v>150580.22389999998</v>
      </c>
      <c r="J14" s="114">
        <v>6870.7953999999982</v>
      </c>
      <c r="K14" s="114">
        <v>26308.177100000001</v>
      </c>
      <c r="L14" s="114">
        <v>24998.017060000009</v>
      </c>
      <c r="M14" s="114">
        <v>63421.886250000003</v>
      </c>
      <c r="N14" s="114">
        <v>76042.039149999997</v>
      </c>
      <c r="O14" s="114">
        <v>16155.848800000002</v>
      </c>
      <c r="P14" s="114">
        <v>3957.2090000000003</v>
      </c>
      <c r="Q14" s="115" t="s">
        <v>168</v>
      </c>
      <c r="R14" s="114">
        <v>9360.8162000000011</v>
      </c>
      <c r="S14" s="114">
        <v>153671.73120000001</v>
      </c>
      <c r="T14" s="114">
        <v>31276.403100000007</v>
      </c>
      <c r="U14" s="114">
        <v>67400.711399999986</v>
      </c>
      <c r="V14" s="114">
        <v>35839.283299999996</v>
      </c>
      <c r="W14" s="114">
        <v>8404.5662000000011</v>
      </c>
      <c r="X14" s="114">
        <v>56818.162799999998</v>
      </c>
      <c r="Y14" s="114">
        <v>126580.40618999999</v>
      </c>
      <c r="Z14" s="114">
        <v>199607.31969999999</v>
      </c>
      <c r="AA14" s="114">
        <v>158663.91620000001</v>
      </c>
      <c r="AB14" s="114">
        <v>522302.84940000001</v>
      </c>
      <c r="AC14" s="114">
        <v>20524.032269999996</v>
      </c>
      <c r="AD14" s="114">
        <v>69326.080000000002</v>
      </c>
      <c r="AE14" s="114">
        <v>17111.409000000003</v>
      </c>
      <c r="AF14" s="91">
        <v>1828.2103</v>
      </c>
      <c r="AG14" s="180">
        <v>2298.3090000000002</v>
      </c>
      <c r="AH14" s="185"/>
      <c r="AI14" s="72"/>
      <c r="AK14" s="203" t="str">
        <v>SO4FEDRY19</v>
      </c>
      <c r="AL14">
        <v>21153</v>
      </c>
      <c r="AM14">
        <v>5978</v>
      </c>
      <c r="AN14">
        <v>5956</v>
      </c>
      <c r="AO14">
        <v>10746.100850000001</v>
      </c>
      <c r="AP14">
        <v>5379.2844999999998</v>
      </c>
      <c r="AQ14">
        <v>12426.399799999996</v>
      </c>
      <c r="AR14">
        <v>10311.277700000001</v>
      </c>
      <c r="AS14">
        <v>13285.3976</v>
      </c>
      <c r="AT14">
        <v>12965.92</v>
      </c>
      <c r="AU14">
        <v>24998.017060000009</v>
      </c>
      <c r="AV14">
        <v>8864.3502299999982</v>
      </c>
      <c r="AW14">
        <v>21931.816320000002</v>
      </c>
      <c r="AX14">
        <v>8045.7303000000002</v>
      </c>
      <c r="AY14">
        <v>7003.4502200000006</v>
      </c>
      <c r="AZ14">
        <v>9318.9331700000002</v>
      </c>
      <c r="BA14">
        <v>7426.2221</v>
      </c>
      <c r="BB14">
        <v>5000.1014499999992</v>
      </c>
      <c r="BC14">
        <v>4477.8521900000005</v>
      </c>
      <c r="BD14">
        <v>7720.8194600000006</v>
      </c>
      <c r="BE14">
        <v>11284.227269999999</v>
      </c>
      <c r="BF14">
        <v>9714.7187799999992</v>
      </c>
      <c r="BG14">
        <v>24047.630859999997</v>
      </c>
      <c r="BH14">
        <v>7282.6770099999994</v>
      </c>
      <c r="BI14">
        <v>11918.838229999998</v>
      </c>
      <c r="BJ14">
        <v>11555.32186</v>
      </c>
      <c r="BK14">
        <v>5990.3895699999994</v>
      </c>
      <c r="BL14">
        <v>9971.3870400000014</v>
      </c>
      <c r="BM14">
        <v>6403.3728200000005</v>
      </c>
      <c r="BN14">
        <v>1674.45705</v>
      </c>
      <c r="BO14">
        <v>5629.5182600000007</v>
      </c>
      <c r="BP14">
        <v>6445.7091400000008</v>
      </c>
      <c r="BQ14">
        <v>7095.6514100000004</v>
      </c>
      <c r="BR14">
        <v>10562.42978</v>
      </c>
      <c r="BS14">
        <v>17142.590820000001</v>
      </c>
      <c r="BT14">
        <v>9867.1612399999995</v>
      </c>
      <c r="BU14">
        <v>16942.957729999998</v>
      </c>
      <c r="BV14">
        <v>5732.30501</v>
      </c>
      <c r="BW14">
        <v>3359.7148400000001</v>
      </c>
      <c r="BX14">
        <v>6021.2099499999995</v>
      </c>
      <c r="BY14">
        <v>3621.2692000000002</v>
      </c>
      <c r="BZ14">
        <v>2928.7131099999992</v>
      </c>
      <c r="CA14">
        <v>3101.6035099999999</v>
      </c>
      <c r="CB14">
        <v>5118.6833700000007</v>
      </c>
      <c r="CC14">
        <v>6087.4862000000003</v>
      </c>
      <c r="CD14">
        <v>6339.2531600000002</v>
      </c>
      <c r="CE14">
        <v>7255.7255100000002</v>
      </c>
      <c r="CF14">
        <v>12548.6914</v>
      </c>
      <c r="CG14">
        <v>5104.7235500000006</v>
      </c>
      <c r="CH14">
        <v>10317.16656</v>
      </c>
      <c r="CI14">
        <v>1648.4848499999998</v>
      </c>
      <c r="CJ14">
        <v>3498.20892</v>
      </c>
      <c r="CK14">
        <v>6984.8457700000008</v>
      </c>
      <c r="CL14">
        <v>4709.8768</v>
      </c>
      <c r="CM14">
        <v>2338.8200600000005</v>
      </c>
      <c r="CN14">
        <v>5438.1084999999975</v>
      </c>
      <c r="CO14">
        <v>11059.70206</v>
      </c>
      <c r="CP14">
        <v>14487.27303</v>
      </c>
      <c r="CQ14">
        <v>6317.7964000000002</v>
      </c>
      <c r="CR14">
        <v>5737.6012000000001</v>
      </c>
      <c r="CS14">
        <v>12279.76686</v>
      </c>
      <c r="CT14">
        <v>8353.3395999999993</v>
      </c>
      <c r="CU14">
        <v>1883.8816999999995</v>
      </c>
      <c r="CV14">
        <v>6866.787049999999</v>
      </c>
      <c r="CW14">
        <v>980.24610999999993</v>
      </c>
      <c r="CX14">
        <v>3745.4215599999998</v>
      </c>
      <c r="CY14">
        <v>4747.2925000000005</v>
      </c>
      <c r="CZ14">
        <v>8258.0040499999996</v>
      </c>
      <c r="DA14">
        <v>9964.469219999999</v>
      </c>
      <c r="DB14">
        <v>8625.6503000000012</v>
      </c>
      <c r="DC14">
        <v>19543.949499999995</v>
      </c>
      <c r="DD14">
        <v>5568.9755500000001</v>
      </c>
      <c r="DE14">
        <v>3173.5611700000004</v>
      </c>
      <c r="DF14">
        <v>2879.10358</v>
      </c>
      <c r="DG14">
        <v>2570.24305</v>
      </c>
      <c r="DH14">
        <v>3704.02819</v>
      </c>
      <c r="DI14">
        <v>1063.03801</v>
      </c>
      <c r="DJ14">
        <v>4814.8553999999995</v>
      </c>
      <c r="DK14">
        <v>8629.1396499999973</v>
      </c>
      <c r="DL14">
        <v>11719.986099999995</v>
      </c>
      <c r="DM14">
        <v>7630.0650500000002</v>
      </c>
      <c r="DN14">
        <v>8332.1667200000011</v>
      </c>
      <c r="DO14">
        <v>5017.2800500000003</v>
      </c>
      <c r="DP14">
        <v>3378.6688999999997</v>
      </c>
      <c r="DQ14">
        <v>4428.6077999999998</v>
      </c>
      <c r="DR14">
        <v>3899.2746000000006</v>
      </c>
      <c r="DS14">
        <v>7718.4631500000005</v>
      </c>
      <c r="DT14">
        <v>3435.7913200000003</v>
      </c>
      <c r="DU14">
        <v>3591.83635</v>
      </c>
      <c r="DV14">
        <v>6832.9944199999991</v>
      </c>
      <c r="DW14">
        <v>7052.0176199999996</v>
      </c>
      <c r="DX14">
        <v>6829.7025999999996</v>
      </c>
      <c r="DY14">
        <v>6558.9269199999999</v>
      </c>
      <c r="DZ14">
        <v>10948.38183</v>
      </c>
      <c r="EA14">
        <v>7277.2872499999994</v>
      </c>
      <c r="EB14">
        <v>9760.2829500000007</v>
      </c>
      <c r="EC14">
        <v>2366.9441900000002</v>
      </c>
      <c r="ED14">
        <v>3392.08</v>
      </c>
      <c r="EE14">
        <v>1153.04</v>
      </c>
      <c r="EF14">
        <v>9867.98</v>
      </c>
      <c r="EG14">
        <v>4019.24</v>
      </c>
      <c r="EH14">
        <v>4140.46</v>
      </c>
      <c r="EI14">
        <v>5008.21</v>
      </c>
      <c r="EJ14">
        <v>9462.3799999999992</v>
      </c>
      <c r="EK14">
        <v>6405.39</v>
      </c>
      <c r="EL14">
        <v>5670.63</v>
      </c>
      <c r="EM14">
        <v>8931.8799999999992</v>
      </c>
      <c r="EN14">
        <v>3681.06</v>
      </c>
      <c r="EO14">
        <v>7571.29</v>
      </c>
      <c r="EP14">
        <v>2363</v>
      </c>
      <c r="EQ14">
        <v>5396</v>
      </c>
      <c r="ER14">
        <v>3521</v>
      </c>
      <c r="ES14">
        <v>2190</v>
      </c>
      <c r="ET14">
        <v>4853</v>
      </c>
      <c r="EU14">
        <v>2791</v>
      </c>
      <c r="EV14">
        <v>5487</v>
      </c>
      <c r="EW14">
        <v>5349</v>
      </c>
      <c r="EX14">
        <v>4460</v>
      </c>
      <c r="EY14">
        <v>8211</v>
      </c>
      <c r="EZ14">
        <v>5322</v>
      </c>
      <c r="FA14">
        <v>7286</v>
      </c>
    </row>
    <row r="15" spans="2:157" x14ac:dyDescent="0.25">
      <c r="B15" s="123">
        <f t="shared" si="9"/>
        <v>41790</v>
      </c>
      <c r="C15" s="111">
        <v>1801.5661</v>
      </c>
      <c r="D15" s="111">
        <v>3886.5319</v>
      </c>
      <c r="E15" s="111">
        <v>27997.002899999999</v>
      </c>
      <c r="F15" s="111">
        <v>7189.9137899999996</v>
      </c>
      <c r="G15" s="111">
        <v>244918.3811</v>
      </c>
      <c r="H15" s="111">
        <v>11942.5591</v>
      </c>
      <c r="I15" s="111">
        <v>55797.156630000005</v>
      </c>
      <c r="J15" s="111">
        <v>5741.983000000002</v>
      </c>
      <c r="K15" s="111">
        <v>21118.785659999998</v>
      </c>
      <c r="L15" s="111">
        <v>8864.3502299999982</v>
      </c>
      <c r="M15" s="111">
        <v>17743.0605</v>
      </c>
      <c r="N15" s="111">
        <v>52100.64185</v>
      </c>
      <c r="O15" s="111">
        <v>15918.12066</v>
      </c>
      <c r="P15" s="111">
        <v>3889.4365000000003</v>
      </c>
      <c r="Q15" s="112" t="s">
        <v>168</v>
      </c>
      <c r="R15" s="111">
        <v>7417.3390599999975</v>
      </c>
      <c r="S15" s="111">
        <v>38582</v>
      </c>
      <c r="T15" s="111">
        <v>25183.397370000002</v>
      </c>
      <c r="U15" s="111">
        <v>96094.873650000009</v>
      </c>
      <c r="V15" s="111">
        <v>11837.607839999999</v>
      </c>
      <c r="W15" s="111">
        <v>17514.754199999999</v>
      </c>
      <c r="X15" s="111">
        <v>6300</v>
      </c>
      <c r="Y15" s="111">
        <v>27077.858120000001</v>
      </c>
      <c r="Z15" s="111">
        <v>115593.677</v>
      </c>
      <c r="AA15" s="111">
        <v>139438.93309999999</v>
      </c>
      <c r="AB15" s="111">
        <v>363394</v>
      </c>
      <c r="AC15" s="111">
        <v>11055.301419999996</v>
      </c>
      <c r="AD15" s="111">
        <v>115661.94701999999</v>
      </c>
      <c r="AE15" s="111">
        <v>8020.2447899999988</v>
      </c>
      <c r="AF15" s="111">
        <v>618.42719999999997</v>
      </c>
      <c r="AG15" s="181">
        <v>0</v>
      </c>
      <c r="AH15" s="185"/>
      <c r="AI15" s="72"/>
      <c r="AK15" s="203" t="str">
        <v>NPKKOHDRY</v>
      </c>
      <c r="AL15">
        <v>42186</v>
      </c>
      <c r="AM15">
        <v>48939</v>
      </c>
      <c r="AN15">
        <v>22704</v>
      </c>
      <c r="AO15">
        <v>31243.343000000001</v>
      </c>
      <c r="AP15">
        <v>12311.729199999998</v>
      </c>
      <c r="AQ15">
        <v>52574.268030000007</v>
      </c>
      <c r="AR15">
        <v>46864.560700000002</v>
      </c>
      <c r="AS15">
        <v>8256.7885000000006</v>
      </c>
      <c r="AT15">
        <v>10873.876799999998</v>
      </c>
      <c r="AU15">
        <v>63421.886250000003</v>
      </c>
      <c r="AV15">
        <v>17743.0605</v>
      </c>
      <c r="AW15">
        <v>10989.159</v>
      </c>
      <c r="AX15">
        <v>5782.9072999999999</v>
      </c>
      <c r="AY15">
        <v>7469.9272000000001</v>
      </c>
      <c r="AZ15">
        <v>88.348399999999998</v>
      </c>
      <c r="BA15">
        <v>11375.35968</v>
      </c>
      <c r="BB15">
        <v>34.177599999999998</v>
      </c>
      <c r="BC15">
        <v>56395.321999999986</v>
      </c>
      <c r="BD15">
        <v>5411.1530000000002</v>
      </c>
      <c r="BE15">
        <v>3057.69</v>
      </c>
      <c r="BF15">
        <v>5615.1562000000004</v>
      </c>
      <c r="BG15">
        <v>18417.117699999999</v>
      </c>
      <c r="BH15">
        <v>25316.456200000001</v>
      </c>
      <c r="BI15">
        <v>38718.247500000005</v>
      </c>
      <c r="BJ15">
        <v>16843.540199999999</v>
      </c>
      <c r="BK15">
        <v>14064.869500000001</v>
      </c>
      <c r="BL15">
        <v>8055.7373999999991</v>
      </c>
      <c r="BM15">
        <v>24241.256800000003</v>
      </c>
      <c r="BN15">
        <v>40737.866999999991</v>
      </c>
      <c r="BO15">
        <v>31109.462999999996</v>
      </c>
      <c r="BP15">
        <v>35799.754780000003</v>
      </c>
      <c r="BQ15">
        <v>2782.5034000000005</v>
      </c>
      <c r="BR15">
        <v>31073.228550000003</v>
      </c>
      <c r="BS15">
        <v>23116.120299999999</v>
      </c>
      <c r="BT15">
        <v>6553.8421000000008</v>
      </c>
      <c r="BU15">
        <v>5500.0522000000001</v>
      </c>
      <c r="BV15">
        <v>2987.9713499999998</v>
      </c>
      <c r="BW15">
        <v>15097.531300000001</v>
      </c>
      <c r="BX15">
        <v>1605.4726599999999</v>
      </c>
      <c r="BY15">
        <v>10435.234</v>
      </c>
      <c r="BZ15">
        <v>30072.469799999999</v>
      </c>
      <c r="CA15">
        <v>50641.214</v>
      </c>
      <c r="CB15">
        <v>20907.592799999999</v>
      </c>
      <c r="CC15">
        <v>10760</v>
      </c>
      <c r="CD15">
        <v>14027.53796</v>
      </c>
      <c r="CE15">
        <v>10742.401159999999</v>
      </c>
      <c r="CF15">
        <v>15617.798200000001</v>
      </c>
      <c r="CG15">
        <v>24771.1836</v>
      </c>
      <c r="CH15">
        <v>25172.18075</v>
      </c>
      <c r="CI15">
        <v>17766.904499999997</v>
      </c>
      <c r="CJ15">
        <v>0</v>
      </c>
      <c r="CK15">
        <v>8034.25468</v>
      </c>
      <c r="CL15">
        <v>19945.444459999999</v>
      </c>
      <c r="CM15" t="str">
        <v>EDTAFEHE</v>
      </c>
      <c r="CN15">
        <v>15085.154159999998</v>
      </c>
      <c r="CO15">
        <v>17435.471700000002</v>
      </c>
      <c r="CP15">
        <v>15624.747529999999</v>
      </c>
      <c r="CQ15">
        <v>7728.0239099999999</v>
      </c>
      <c r="CR15">
        <v>518.77530000000002</v>
      </c>
      <c r="CS15">
        <v>10820.55</v>
      </c>
      <c r="CT15">
        <v>0</v>
      </c>
      <c r="CU15">
        <v>38.552999999999997</v>
      </c>
      <c r="CV15">
        <v>334.12139999999999</v>
      </c>
      <c r="CW15">
        <v>5427.7491600000003</v>
      </c>
      <c r="CX15">
        <v>6821.9852799999999</v>
      </c>
      <c r="CY15">
        <v>32083.59764</v>
      </c>
      <c r="CZ15">
        <v>43894.4902</v>
      </c>
      <c r="DA15">
        <v>276.726</v>
      </c>
      <c r="DB15">
        <v>1451.5722000000001</v>
      </c>
      <c r="DC15">
        <v>236.81319999999997</v>
      </c>
      <c r="DD15">
        <v>181.0686</v>
      </c>
      <c r="DE15">
        <v>5648.8755000000001</v>
      </c>
      <c r="DF15">
        <v>2696.4189000000001</v>
      </c>
      <c r="DG15">
        <v>50.481000000000009</v>
      </c>
      <c r="DH15">
        <v>1359.0192000000002</v>
      </c>
      <c r="DI15">
        <v>2409.3623000000007</v>
      </c>
      <c r="DJ15">
        <v>157.72649999999999</v>
      </c>
      <c r="DK15">
        <v>3538.4407799999999</v>
      </c>
      <c r="DL15">
        <v>21040.840549999997</v>
      </c>
      <c r="DM15">
        <v>440.51490000000001</v>
      </c>
      <c r="DN15">
        <v>6184.4291999999996</v>
      </c>
      <c r="DO15">
        <v>84.073800000000006</v>
      </c>
      <c r="DP15">
        <v>11020.4319</v>
      </c>
      <c r="DQ15">
        <v>742.05585999999994</v>
      </c>
      <c r="DR15">
        <v>1326.66508</v>
      </c>
      <c r="DS15">
        <v>921.28886000000011</v>
      </c>
      <c r="DT15">
        <v>19536.1296</v>
      </c>
      <c r="DU15">
        <v>5569.2523099999999</v>
      </c>
      <c r="DV15">
        <v>295.52069999999998</v>
      </c>
      <c r="DW15">
        <v>873.39773999999977</v>
      </c>
      <c r="DX15">
        <v>11364.142400000001</v>
      </c>
      <c r="DY15">
        <v>20776.826829999998</v>
      </c>
      <c r="DZ15">
        <v>39501.044009999998</v>
      </c>
      <c r="EA15">
        <v>12134.08174</v>
      </c>
      <c r="EB15">
        <v>12426.91856</v>
      </c>
      <c r="EC15">
        <v>14809.644200000004</v>
      </c>
      <c r="ED15">
        <v>19276.37</v>
      </c>
      <c r="EE15">
        <v>1727.2</v>
      </c>
      <c r="EF15">
        <v>3308.56</v>
      </c>
      <c r="EG15">
        <v>17000.099999999999</v>
      </c>
      <c r="EH15">
        <v>5659.5</v>
      </c>
      <c r="EI15">
        <v>11309.28</v>
      </c>
      <c r="EJ15">
        <v>31732.5</v>
      </c>
      <c r="EK15">
        <v>4747.4690000000001</v>
      </c>
      <c r="EL15">
        <v>8997.27</v>
      </c>
      <c r="EM15">
        <v>26915.85</v>
      </c>
      <c r="EN15">
        <v>17568.835500000001</v>
      </c>
      <c r="EO15">
        <v>4492.57</v>
      </c>
      <c r="EP15">
        <v>3077</v>
      </c>
      <c r="EQ15">
        <v>77</v>
      </c>
      <c r="ER15">
        <v>9957</v>
      </c>
      <c r="ES15">
        <v>8379</v>
      </c>
      <c r="ET15">
        <v>15856</v>
      </c>
      <c r="EU15">
        <v>36010</v>
      </c>
      <c r="EV15">
        <v>46854</v>
      </c>
      <c r="EW15">
        <v>196</v>
      </c>
      <c r="EX15">
        <v>6519</v>
      </c>
      <c r="EY15">
        <v>200</v>
      </c>
      <c r="EZ15">
        <v>303</v>
      </c>
      <c r="FA15">
        <v>69</v>
      </c>
    </row>
    <row r="16" spans="2:157" ht="15.75" thickBot="1" x14ac:dyDescent="0.3">
      <c r="B16" s="123">
        <f t="shared" si="9"/>
        <v>41820</v>
      </c>
      <c r="C16" s="108">
        <v>1191.0849000000001</v>
      </c>
      <c r="D16" s="108">
        <v>905.48119999999994</v>
      </c>
      <c r="E16" s="108">
        <v>11228.464699999999</v>
      </c>
      <c r="F16" s="108">
        <v>7057.71461</v>
      </c>
      <c r="G16" s="108">
        <v>40002.762770000001</v>
      </c>
      <c r="H16" s="108">
        <v>5871.664600000001</v>
      </c>
      <c r="I16" s="108">
        <v>119844.54319999997</v>
      </c>
      <c r="J16" s="108">
        <v>5446.1614000000009</v>
      </c>
      <c r="K16" s="108">
        <v>11089.454300000001</v>
      </c>
      <c r="L16" s="108">
        <v>21931.816320000002</v>
      </c>
      <c r="M16" s="108">
        <v>10989.159</v>
      </c>
      <c r="N16" s="108">
        <v>10871.4288</v>
      </c>
      <c r="O16" s="108">
        <v>3553.4985199999996</v>
      </c>
      <c r="P16" s="108">
        <v>765.86749999999995</v>
      </c>
      <c r="Q16" s="109" t="s">
        <v>168</v>
      </c>
      <c r="R16" s="108">
        <v>7914.180620000001</v>
      </c>
      <c r="S16" s="108">
        <v>20794</v>
      </c>
      <c r="T16" s="108">
        <v>18171.119499999997</v>
      </c>
      <c r="U16" s="108">
        <v>33156.983479999995</v>
      </c>
      <c r="V16" s="108">
        <v>24925.304159999996</v>
      </c>
      <c r="W16" s="108">
        <v>2858.40452</v>
      </c>
      <c r="X16" s="108">
        <v>1760.4557</v>
      </c>
      <c r="Y16" s="108">
        <v>53178</v>
      </c>
      <c r="Z16" s="108">
        <v>30000</v>
      </c>
      <c r="AA16" s="108">
        <v>205.03020000000001</v>
      </c>
      <c r="AB16" s="108">
        <v>74759</v>
      </c>
      <c r="AC16" s="108">
        <v>5180.978900000001</v>
      </c>
      <c r="AD16" s="108">
        <v>38913.843249999998</v>
      </c>
      <c r="AE16" s="108">
        <v>9619.6714499999998</v>
      </c>
      <c r="AF16" s="108">
        <v>234</v>
      </c>
      <c r="AG16" s="182">
        <v>0</v>
      </c>
      <c r="AH16" s="185"/>
      <c r="AI16" s="72"/>
      <c r="AK16" s="203" t="str">
        <v>NPKKOHLIQ</v>
      </c>
      <c r="AL16">
        <v>26828</v>
      </c>
      <c r="AM16">
        <v>173074</v>
      </c>
      <c r="AN16">
        <v>44682</v>
      </c>
      <c r="AO16">
        <v>94386.027019999994</v>
      </c>
      <c r="AP16">
        <v>37263.179999999993</v>
      </c>
      <c r="AQ16">
        <v>106392.48</v>
      </c>
      <c r="AR16">
        <v>81441.628800000006</v>
      </c>
      <c r="AS16">
        <v>34316.494399999996</v>
      </c>
      <c r="AT16">
        <v>26808.791999999998</v>
      </c>
      <c r="AU16">
        <v>76042.039149999997</v>
      </c>
      <c r="AV16">
        <v>52100.64185</v>
      </c>
      <c r="AW16">
        <v>10871.4288</v>
      </c>
      <c r="AX16">
        <v>0</v>
      </c>
      <c r="AY16">
        <v>5614.53</v>
      </c>
      <c r="AZ16">
        <v>0</v>
      </c>
      <c r="BA16">
        <v>96.194280000000006</v>
      </c>
      <c r="BB16">
        <v>510</v>
      </c>
      <c r="BC16">
        <v>11613.734</v>
      </c>
      <c r="BD16">
        <v>422.37383999999997</v>
      </c>
      <c r="BE16">
        <v>1257.3440000000001</v>
      </c>
      <c r="BF16">
        <v>305.28316000000001</v>
      </c>
      <c r="BG16">
        <v>5647.0429999999997</v>
      </c>
      <c r="BH16">
        <v>945.72940000000006</v>
      </c>
      <c r="BI16">
        <v>269.79999999999973</v>
      </c>
      <c r="BJ16">
        <v>6701.6545999999998</v>
      </c>
      <c r="BK16">
        <v>120.2985</v>
      </c>
      <c r="BL16">
        <v>12039.258</v>
      </c>
      <c r="BM16">
        <v>-5498.2394000000004</v>
      </c>
      <c r="BN16">
        <v>64.039500000000004</v>
      </c>
      <c r="BO16">
        <v>64.039500000000004</v>
      </c>
      <c r="BP16">
        <v>0</v>
      </c>
      <c r="BQ16">
        <v>1348.0395000000001</v>
      </c>
      <c r="BR16">
        <v>484.03949999999998</v>
      </c>
      <c r="BS16">
        <v>1327.4955</v>
      </c>
      <c r="BT16">
        <v>65.034900000000007</v>
      </c>
      <c r="BU16">
        <v>422.84249999999997</v>
      </c>
      <c r="BV16">
        <v>76.009500000000003</v>
      </c>
      <c r="BW16">
        <v>555.41100000000006</v>
      </c>
      <c r="BX16">
        <v>-949.78149999999982</v>
      </c>
      <c r="BY16">
        <v>75.411000000000001</v>
      </c>
      <c r="BZ16">
        <v>629.03289999999993</v>
      </c>
      <c r="CA16">
        <v>76.308750000000003</v>
      </c>
      <c r="CB16">
        <v>151.12125</v>
      </c>
      <c r="CC16">
        <v>753.31290000000013</v>
      </c>
      <c r="CD16">
        <v>252.16770000000002</v>
      </c>
      <c r="CE16">
        <v>-2891.6714999999999</v>
      </c>
      <c r="CF16">
        <v>550.42380000000003</v>
      </c>
      <c r="CG16">
        <v>75.411000000000001</v>
      </c>
      <c r="CH16">
        <v>0</v>
      </c>
      <c r="CI16">
        <v>199.899</v>
      </c>
      <c r="CJ16">
        <v>193.91400000000002</v>
      </c>
      <c r="CK16">
        <v>260.04825</v>
      </c>
      <c r="CL16">
        <v>637.65480000000002</v>
      </c>
      <c r="CM16">
        <v>0</v>
      </c>
      <c r="CN16">
        <v>152.61750000000029</v>
      </c>
      <c r="CO16">
        <v>0</v>
      </c>
      <c r="CP16">
        <v>302.24250000000001</v>
      </c>
      <c r="CQ16">
        <v>-1318.7637</v>
      </c>
      <c r="CR16">
        <v>449.625</v>
      </c>
      <c r="CS16">
        <v>63.441000000000003</v>
      </c>
      <c r="CT16">
        <v>511.4205</v>
      </c>
      <c r="CU16">
        <v>0</v>
      </c>
      <c r="CV16">
        <v>150.822</v>
      </c>
      <c r="CW16">
        <v>75.411000000000001</v>
      </c>
      <c r="CX16">
        <v>-2349.1779999999999</v>
      </c>
      <c r="CY16">
        <v>150.2235</v>
      </c>
      <c r="CZ16">
        <v>641.24579999999992</v>
      </c>
      <c r="DA16">
        <v>225.6345</v>
      </c>
      <c r="DB16">
        <v>315.411</v>
      </c>
      <c r="DC16">
        <v>300</v>
      </c>
      <c r="DD16">
        <v>0</v>
      </c>
      <c r="DE16">
        <v>58.952249999999999</v>
      </c>
      <c r="DF16">
        <v>150.822</v>
      </c>
      <c r="DG16">
        <v>75.411000000000001</v>
      </c>
      <c r="DH16">
        <v>60.448500000000003</v>
      </c>
      <c r="DI16">
        <v>-3037.5817000000002</v>
      </c>
      <c r="DJ16">
        <v>0</v>
      </c>
      <c r="DK16">
        <v>420.44850000000002</v>
      </c>
      <c r="DL16">
        <v>301.0455</v>
      </c>
      <c r="DM16">
        <v>75.411000000000001</v>
      </c>
      <c r="DN16">
        <v>265.447</v>
      </c>
      <c r="DO16">
        <v>75.411000000000001</v>
      </c>
      <c r="DP16">
        <v>150.822</v>
      </c>
      <c r="DQ16">
        <v>490.42380000000003</v>
      </c>
      <c r="DR16">
        <v>330.2235</v>
      </c>
      <c r="DS16">
        <v>290.54925000000003</v>
      </c>
      <c r="DT16">
        <v>0</v>
      </c>
      <c r="DU16">
        <v>815.80909999999994</v>
      </c>
      <c r="DV16">
        <v>0</v>
      </c>
      <c r="DW16">
        <v>190.4238</v>
      </c>
      <c r="DX16">
        <v>-0.39999999999997726</v>
      </c>
      <c r="DY16">
        <v>190.4238</v>
      </c>
      <c r="DZ16">
        <v>0</v>
      </c>
      <c r="EA16">
        <v>0</v>
      </c>
      <c r="EB16">
        <v>2</v>
      </c>
      <c r="EC16">
        <v>371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</row>
    <row r="17" spans="2:157" x14ac:dyDescent="0.25">
      <c r="B17" s="123">
        <f t="shared" si="9"/>
        <v>41851</v>
      </c>
      <c r="C17" s="111">
        <v>359.04599999999999</v>
      </c>
      <c r="D17" s="111">
        <v>397.44485000000003</v>
      </c>
      <c r="E17" s="111">
        <v>68914.1924</v>
      </c>
      <c r="F17" s="111">
        <v>2148.8647400000004</v>
      </c>
      <c r="G17" s="111">
        <v>20090.550889999999</v>
      </c>
      <c r="H17" s="111">
        <v>12584.7837</v>
      </c>
      <c r="I17" s="111">
        <v>84416.622910000006</v>
      </c>
      <c r="J17" s="111">
        <v>12986.909339999995</v>
      </c>
      <c r="K17" s="111">
        <v>16493.370699999999</v>
      </c>
      <c r="L17" s="111">
        <v>8045.7303000000002</v>
      </c>
      <c r="M17" s="111">
        <v>5782.9072999999999</v>
      </c>
      <c r="N17" s="111">
        <v>0</v>
      </c>
      <c r="O17" s="111">
        <v>4962.8602600000004</v>
      </c>
      <c r="P17" s="111">
        <v>519.18700000000001</v>
      </c>
      <c r="Q17" s="112" t="s">
        <v>168</v>
      </c>
      <c r="R17" s="111">
        <v>2424.7870199999998</v>
      </c>
      <c r="S17" s="111">
        <v>10662</v>
      </c>
      <c r="T17" s="111">
        <v>40597.846489999989</v>
      </c>
      <c r="U17" s="111">
        <v>73579.413249999998</v>
      </c>
      <c r="V17" s="111">
        <v>16976.931919999999</v>
      </c>
      <c r="W17" s="111">
        <v>9788.0869000000002</v>
      </c>
      <c r="X17" s="111">
        <v>3150</v>
      </c>
      <c r="Y17" s="111">
        <v>17340.305619999999</v>
      </c>
      <c r="Z17" s="111">
        <v>26.3154</v>
      </c>
      <c r="AA17" s="111">
        <v>3525.8020000000001</v>
      </c>
      <c r="AB17" s="111">
        <v>24768.096550000002</v>
      </c>
      <c r="AC17" s="111">
        <v>16235.960650000005</v>
      </c>
      <c r="AD17" s="111">
        <v>75645.924949999986</v>
      </c>
      <c r="AE17" s="111">
        <v>1814.3930900000003</v>
      </c>
      <c r="AF17" s="91">
        <v>218.78319999999999</v>
      </c>
      <c r="AG17" s="180">
        <v>0</v>
      </c>
      <c r="AH17" s="185"/>
      <c r="AI17" s="72"/>
      <c r="AK17" s="203" t="str">
        <v>NPKKTS</v>
      </c>
      <c r="AL17">
        <v>0</v>
      </c>
      <c r="AM17">
        <v>6232.2</v>
      </c>
      <c r="AN17">
        <v>5682.6</v>
      </c>
      <c r="AO17">
        <v>14436.865599999999</v>
      </c>
      <c r="AP17">
        <v>13833.635999999999</v>
      </c>
      <c r="AQ17">
        <v>14713.596000000001</v>
      </c>
      <c r="AR17">
        <v>4956.2963999999993</v>
      </c>
      <c r="AS17">
        <v>5051.5515000000005</v>
      </c>
      <c r="AT17">
        <v>15581.865600000001</v>
      </c>
      <c r="AU17">
        <v>16155.848800000002</v>
      </c>
      <c r="AV17">
        <v>15918.12066</v>
      </c>
      <c r="AW17">
        <v>3553.4985199999996</v>
      </c>
      <c r="AX17">
        <v>4962.8602600000004</v>
      </c>
      <c r="AY17">
        <v>5207.3154000000004</v>
      </c>
      <c r="AZ17">
        <v>5269.0846000000001</v>
      </c>
      <c r="BA17">
        <v>5601.1475599999994</v>
      </c>
      <c r="BB17">
        <v>19581.073199999999</v>
      </c>
      <c r="BC17">
        <v>5673.8688700000002</v>
      </c>
      <c r="BD17">
        <v>8809.264360000001</v>
      </c>
      <c r="BE17">
        <v>2658.7350500000002</v>
      </c>
      <c r="BF17">
        <v>15484.73775</v>
      </c>
      <c r="BG17">
        <v>2228.6293000000001</v>
      </c>
      <c r="BH17">
        <v>8403.768759999999</v>
      </c>
      <c r="BI17">
        <v>16450.0013</v>
      </c>
      <c r="BJ17">
        <v>8809.264360000001</v>
      </c>
      <c r="BK17">
        <v>2658.7350500000002</v>
      </c>
      <c r="BL17">
        <v>15484.73775</v>
      </c>
      <c r="BM17">
        <v>2228.6293000000001</v>
      </c>
      <c r="BN17">
        <v>8403.768759999999</v>
      </c>
      <c r="BO17">
        <v>16450.0013</v>
      </c>
      <c r="BP17">
        <v>5513.8825000000006</v>
      </c>
      <c r="BQ17">
        <v>2239.3368</v>
      </c>
      <c r="BR17">
        <v>4302.66626</v>
      </c>
      <c r="BS17">
        <v>14363.54235</v>
      </c>
      <c r="BT17">
        <v>6581.1428599999999</v>
      </c>
      <c r="BU17">
        <v>3030.5255999999999</v>
      </c>
      <c r="BV17">
        <v>3294.2431999999999</v>
      </c>
      <c r="BW17">
        <v>4068.9567499999998</v>
      </c>
      <c r="BX17">
        <v>8947.9346600000008</v>
      </c>
      <c r="BY17">
        <v>13524.692999999999</v>
      </c>
      <c r="BZ17">
        <v>38158.505550000002</v>
      </c>
      <c r="CA17">
        <v>7017.7451999999994</v>
      </c>
      <c r="CB17">
        <v>12987.78</v>
      </c>
      <c r="CC17">
        <v>11178.908099999999</v>
      </c>
      <c r="CD17">
        <v>11961.3609</v>
      </c>
      <c r="CE17">
        <v>12632.479160000001</v>
      </c>
      <c r="CF17">
        <v>13651.603200000001</v>
      </c>
      <c r="CG17">
        <v>4480.5240000000003</v>
      </c>
      <c r="CH17">
        <v>3094.8440000000001</v>
      </c>
      <c r="CI17">
        <v>5228.7599999999993</v>
      </c>
      <c r="CJ17">
        <v>4651.2</v>
      </c>
      <c r="CK17">
        <v>18648.059599999997</v>
      </c>
      <c r="CL17">
        <v>12366.4889</v>
      </c>
      <c r="CM17">
        <v>24637.636709999999</v>
      </c>
      <c r="CN17">
        <v>2712.2654599999996</v>
      </c>
      <c r="CO17">
        <v>5360.3472500000007</v>
      </c>
      <c r="CP17">
        <v>2261.6408000000001</v>
      </c>
      <c r="CQ17">
        <v>16640.326160000001</v>
      </c>
      <c r="CR17">
        <v>8473.5522000000001</v>
      </c>
      <c r="CS17">
        <v>6916.8701000000001</v>
      </c>
      <c r="CT17">
        <v>5053.7439999999997</v>
      </c>
      <c r="CU17">
        <v>8340.8691999999992</v>
      </c>
      <c r="CV17">
        <v>1468.8</v>
      </c>
      <c r="CW17">
        <v>23218.371199999998</v>
      </c>
      <c r="CX17">
        <v>15064.171299999998</v>
      </c>
      <c r="CY17">
        <v>2514.2835999999998</v>
      </c>
      <c r="CZ17">
        <v>18727.549100000004</v>
      </c>
      <c r="DA17">
        <v>5569.2000000000007</v>
      </c>
      <c r="DB17">
        <v>7582.5748999999996</v>
      </c>
      <c r="DC17">
        <v>13929.530199999999</v>
      </c>
      <c r="DD17">
        <v>4320.8519999999999</v>
      </c>
      <c r="DE17">
        <v>4768.7555999999995</v>
      </c>
      <c r="DF17">
        <v>2821.4519999999998</v>
      </c>
      <c r="DG17">
        <v>3539.4236000000005</v>
      </c>
      <c r="DH17">
        <v>12104.304</v>
      </c>
      <c r="DI17">
        <v>11210.623349999998</v>
      </c>
      <c r="DJ17">
        <v>18763.261399999999</v>
      </c>
      <c r="DK17">
        <v>7701.6159999999991</v>
      </c>
      <c r="DL17">
        <v>4072.0700999999995</v>
      </c>
      <c r="DM17">
        <v>9937.0032500000016</v>
      </c>
      <c r="DN17">
        <v>4996.365499999999</v>
      </c>
      <c r="DO17">
        <v>24286.67</v>
      </c>
      <c r="DP17">
        <v>2924.5392500000007</v>
      </c>
      <c r="DQ17">
        <v>2847.6480000000001</v>
      </c>
      <c r="DR17">
        <v>3058.1279999999997</v>
      </c>
      <c r="DS17">
        <v>11590.817509999999</v>
      </c>
      <c r="DT17">
        <v>15675.259959999999</v>
      </c>
      <c r="DU17">
        <v>21232.173400000003</v>
      </c>
      <c r="DV17">
        <v>7195.0429199999999</v>
      </c>
      <c r="DW17">
        <v>18758.063600000001</v>
      </c>
      <c r="DX17">
        <v>8690.6851999999999</v>
      </c>
      <c r="DY17">
        <v>5983.9539999999997</v>
      </c>
      <c r="DZ17">
        <v>9243.39</v>
      </c>
      <c r="EA17">
        <v>18035.561999999998</v>
      </c>
      <c r="EB17">
        <v>11077.2</v>
      </c>
      <c r="EC17">
        <v>5095.7212</v>
      </c>
      <c r="ED17">
        <v>7859.37</v>
      </c>
      <c r="EE17">
        <v>13691.04</v>
      </c>
      <c r="EF17">
        <v>5917.96</v>
      </c>
      <c r="EG17">
        <v>21369.11</v>
      </c>
      <c r="EH17">
        <v>27931.52</v>
      </c>
      <c r="EI17">
        <v>4185.1899999999996</v>
      </c>
      <c r="EJ17">
        <v>8150.54</v>
      </c>
      <c r="EK17">
        <v>18938.310000000001</v>
      </c>
      <c r="EL17">
        <v>15757.63</v>
      </c>
      <c r="EM17">
        <v>8131.47</v>
      </c>
      <c r="EN17">
        <v>9252.7800000000007</v>
      </c>
      <c r="EO17">
        <v>63090.55</v>
      </c>
      <c r="EP17">
        <v>3191</v>
      </c>
      <c r="EQ17">
        <v>3823</v>
      </c>
      <c r="ER17">
        <v>11561</v>
      </c>
      <c r="ES17">
        <v>8417</v>
      </c>
      <c r="ET17">
        <v>36763</v>
      </c>
      <c r="EU17">
        <v>13352</v>
      </c>
      <c r="EV17">
        <v>8353</v>
      </c>
      <c r="EW17">
        <v>25507</v>
      </c>
      <c r="EX17">
        <v>9353</v>
      </c>
      <c r="EY17">
        <v>8787</v>
      </c>
      <c r="EZ17">
        <v>67048</v>
      </c>
      <c r="FA17">
        <v>77029</v>
      </c>
    </row>
    <row r="18" spans="2:157" x14ac:dyDescent="0.25">
      <c r="B18" s="123">
        <f t="shared" si="9"/>
        <v>41882</v>
      </c>
      <c r="C18" s="111">
        <v>4113.5851000000002</v>
      </c>
      <c r="D18" s="111">
        <v>190.65160000000003</v>
      </c>
      <c r="E18" s="111">
        <v>91.704399999999993</v>
      </c>
      <c r="F18" s="111">
        <v>1690.1835899999999</v>
      </c>
      <c r="G18" s="111">
        <v>46720.222479999997</v>
      </c>
      <c r="H18" s="111">
        <v>1589.0163999999997</v>
      </c>
      <c r="I18" s="111">
        <v>76834.470560000002</v>
      </c>
      <c r="J18" s="111">
        <v>8046.8694000000014</v>
      </c>
      <c r="K18" s="111">
        <v>14036.247139999998</v>
      </c>
      <c r="L18" s="111">
        <v>7003.4502200000006</v>
      </c>
      <c r="M18" s="111">
        <v>7469.9272000000001</v>
      </c>
      <c r="N18" s="111">
        <v>5614.53</v>
      </c>
      <c r="O18" s="111">
        <v>5207.3154000000004</v>
      </c>
      <c r="P18" s="111">
        <v>487.12499999999994</v>
      </c>
      <c r="Q18" s="112" t="s">
        <v>168</v>
      </c>
      <c r="R18" s="111">
        <v>2096.6735099999996</v>
      </c>
      <c r="S18" s="111">
        <v>19520</v>
      </c>
      <c r="T18" s="111">
        <v>18009.648000000001</v>
      </c>
      <c r="U18" s="111">
        <v>47104.115739999994</v>
      </c>
      <c r="V18" s="111">
        <v>13472.568430000001</v>
      </c>
      <c r="W18" s="111">
        <v>10537.485400000003</v>
      </c>
      <c r="X18" s="111">
        <v>6049.9013999999997</v>
      </c>
      <c r="Y18" s="111">
        <v>32129.175499999998</v>
      </c>
      <c r="Z18" s="111">
        <v>25432.025399999999</v>
      </c>
      <c r="AA18" s="111">
        <v>58103.736600000004</v>
      </c>
      <c r="AB18" s="111">
        <v>47310</v>
      </c>
      <c r="AC18" s="111">
        <v>3819.2109999999993</v>
      </c>
      <c r="AD18" s="111">
        <v>33750.5389</v>
      </c>
      <c r="AE18" s="111">
        <v>8843.4575800000002</v>
      </c>
      <c r="AF18" s="111">
        <v>255.01319999999998</v>
      </c>
      <c r="AG18" s="181">
        <v>219.374</v>
      </c>
      <c r="AH18" s="185"/>
      <c r="AI18" s="72"/>
      <c r="AK18" s="203" t="str">
        <v>CHELIGLIQ</v>
      </c>
      <c r="AL18">
        <v>775</v>
      </c>
      <c r="AM18">
        <v>511</v>
      </c>
      <c r="AN18">
        <v>359</v>
      </c>
      <c r="AO18">
        <v>844.98</v>
      </c>
      <c r="AP18">
        <v>739.35874999999999</v>
      </c>
      <c r="AQ18">
        <v>2957.3550000000005</v>
      </c>
      <c r="AR18">
        <v>3934.3130000000001</v>
      </c>
      <c r="AS18">
        <v>3241.71</v>
      </c>
      <c r="AT18">
        <v>6816.0525000000016</v>
      </c>
      <c r="AU18">
        <v>3957.2090000000003</v>
      </c>
      <c r="AV18">
        <v>3889.4365000000003</v>
      </c>
      <c r="AW18">
        <v>765.86749999999995</v>
      </c>
      <c r="AX18">
        <v>519.18700000000001</v>
      </c>
      <c r="AY18">
        <v>487.12499999999994</v>
      </c>
      <c r="AZ18">
        <v>618.18250000000012</v>
      </c>
      <c r="BA18">
        <v>841.36</v>
      </c>
      <c r="BB18">
        <v>1017.1715</v>
      </c>
      <c r="BC18">
        <v>299.13249999999999</v>
      </c>
      <c r="BD18">
        <v>889.71</v>
      </c>
      <c r="BE18">
        <v>5339.5950000000003</v>
      </c>
      <c r="BF18">
        <v>2421.0610000000006</v>
      </c>
      <c r="BG18">
        <v>2504.5050000000006</v>
      </c>
      <c r="BH18">
        <v>889.70500000000004</v>
      </c>
      <c r="BI18">
        <v>387.20074999999997</v>
      </c>
      <c r="BJ18">
        <v>4759.3245000000006</v>
      </c>
      <c r="BK18">
        <v>96.072499999999991</v>
      </c>
      <c r="BL18">
        <v>408.78500000000003</v>
      </c>
      <c r="BM18">
        <v>559.46</v>
      </c>
      <c r="BN18">
        <v>280.11500000000001</v>
      </c>
      <c r="BO18">
        <v>464.61500000000001</v>
      </c>
      <c r="BP18">
        <v>77.174999999999997</v>
      </c>
      <c r="BQ18">
        <v>481.71500000000003</v>
      </c>
      <c r="BR18">
        <v>223.49250000000001</v>
      </c>
      <c r="BS18">
        <v>445.14499999999998</v>
      </c>
      <c r="BT18">
        <v>49.5</v>
      </c>
      <c r="BU18">
        <v>437.34749999999997</v>
      </c>
      <c r="BV18">
        <v>77.174999999999997</v>
      </c>
      <c r="BW18">
        <v>481.71500000000003</v>
      </c>
      <c r="BX18">
        <v>223.49250000000001</v>
      </c>
      <c r="BY18">
        <v>445.14499999999998</v>
      </c>
      <c r="BZ18">
        <v>49.5</v>
      </c>
      <c r="CA18">
        <v>437.34749999999997</v>
      </c>
      <c r="CB18">
        <v>3230.415</v>
      </c>
      <c r="CC18">
        <v>338.30500000000001</v>
      </c>
      <c r="CD18">
        <v>3330.99</v>
      </c>
      <c r="CE18">
        <v>1353.0750000000003</v>
      </c>
      <c r="CF18">
        <v>734.14</v>
      </c>
      <c r="CG18">
        <v>181.95999999999998</v>
      </c>
      <c r="CH18">
        <v>142.655</v>
      </c>
      <c r="CI18">
        <v>60.693750000000001</v>
      </c>
      <c r="CJ18">
        <v>236.3</v>
      </c>
      <c r="CK18">
        <v>619.65750000000003</v>
      </c>
      <c r="CL18">
        <v>516.57000000000005</v>
      </c>
      <c r="CM18">
        <v>148.69999999999999</v>
      </c>
      <c r="CN18">
        <v>383.75200000000007</v>
      </c>
      <c r="CO18">
        <v>989.97199999999998</v>
      </c>
      <c r="CP18">
        <v>1366.9275</v>
      </c>
      <c r="CQ18">
        <v>523.02</v>
      </c>
      <c r="CR18">
        <v>858.7650000000001</v>
      </c>
      <c r="CS18">
        <v>1038.4574999999998</v>
      </c>
      <c r="CT18">
        <v>1565.58</v>
      </c>
      <c r="CU18">
        <v>259.62</v>
      </c>
      <c r="CV18">
        <v>1895.7925</v>
      </c>
      <c r="CW18">
        <v>-26289.127500000002</v>
      </c>
      <c r="CX18">
        <v>1061.01</v>
      </c>
      <c r="CY18">
        <v>1549.2199999999998</v>
      </c>
      <c r="CZ18">
        <v>6929.3099999999986</v>
      </c>
      <c r="DA18">
        <v>2154.8049999999998</v>
      </c>
      <c r="DB18">
        <v>3207.2575000000002</v>
      </c>
      <c r="DC18">
        <v>1676.6256299999998</v>
      </c>
      <c r="DD18">
        <v>989.94499999999994</v>
      </c>
      <c r="DE18">
        <v>90.552500000000009</v>
      </c>
      <c r="DF18">
        <v>382.27200000000005</v>
      </c>
      <c r="DG18">
        <v>-21686.774999999998</v>
      </c>
      <c r="DH18">
        <v>-9514.5099999999984</v>
      </c>
      <c r="DI18">
        <v>180.2895</v>
      </c>
      <c r="DJ18">
        <v>1081.835</v>
      </c>
      <c r="DK18">
        <v>1463.6949999999997</v>
      </c>
      <c r="DL18">
        <v>5021.79</v>
      </c>
      <c r="DM18">
        <v>2085.7030999999997</v>
      </c>
      <c r="DN18">
        <v>2479.8780999999999</v>
      </c>
      <c r="DO18">
        <v>1314.15</v>
      </c>
      <c r="DP18">
        <v>611.11699999999996</v>
      </c>
      <c r="DQ18">
        <v>294.33560000000006</v>
      </c>
      <c r="DR18">
        <v>122.77250000000001</v>
      </c>
      <c r="DS18">
        <v>593.36450000000002</v>
      </c>
      <c r="DT18">
        <v>158.07499999999999</v>
      </c>
      <c r="DU18">
        <v>548.30250000000001</v>
      </c>
      <c r="DV18">
        <v>574.69499999999994</v>
      </c>
      <c r="DW18">
        <v>1184.1956</v>
      </c>
      <c r="DX18">
        <v>1686.0075000000002</v>
      </c>
      <c r="DY18">
        <v>3301.3540000000003</v>
      </c>
      <c r="DZ18">
        <v>3365.3162500000003</v>
      </c>
      <c r="EA18">
        <v>1982.4003000000002</v>
      </c>
      <c r="EB18">
        <v>1043.442</v>
      </c>
      <c r="EC18">
        <v>704.47070000000008</v>
      </c>
      <c r="ED18">
        <v>658.93</v>
      </c>
      <c r="EE18">
        <v>42258.87</v>
      </c>
      <c r="EF18">
        <v>447.76</v>
      </c>
      <c r="EG18">
        <v>307.92</v>
      </c>
      <c r="EH18">
        <v>769.59</v>
      </c>
      <c r="EI18">
        <v>1342.68</v>
      </c>
      <c r="EJ18">
        <v>4107.91</v>
      </c>
      <c r="EK18">
        <v>2804.73</v>
      </c>
      <c r="EL18">
        <v>4779.71</v>
      </c>
      <c r="EM18">
        <v>2189.73</v>
      </c>
      <c r="EN18">
        <v>898.93</v>
      </c>
      <c r="EO18">
        <v>228.75</v>
      </c>
      <c r="EP18">
        <v>374</v>
      </c>
      <c r="EQ18">
        <v>366</v>
      </c>
      <c r="ER18">
        <v>582</v>
      </c>
      <c r="ES18">
        <v>76</v>
      </c>
      <c r="ET18">
        <v>91</v>
      </c>
      <c r="EU18">
        <v>895</v>
      </c>
      <c r="EV18">
        <v>3203</v>
      </c>
      <c r="EW18">
        <v>2779</v>
      </c>
      <c r="EX18">
        <v>4556</v>
      </c>
      <c r="EY18">
        <v>2410</v>
      </c>
      <c r="EZ18">
        <v>42730</v>
      </c>
      <c r="FA18">
        <v>164</v>
      </c>
    </row>
    <row r="19" spans="2:157" ht="15.75" thickBot="1" x14ac:dyDescent="0.3">
      <c r="B19" s="123">
        <f t="shared" si="9"/>
        <v>41912</v>
      </c>
      <c r="C19" s="108">
        <v>5038.8822499999997</v>
      </c>
      <c r="D19" s="108">
        <v>145.78425000000001</v>
      </c>
      <c r="E19" s="108">
        <v>36</v>
      </c>
      <c r="F19" s="108">
        <v>1326.0287699999999</v>
      </c>
      <c r="G19" s="108">
        <v>114296.43734</v>
      </c>
      <c r="H19" s="108">
        <v>4516.5770000000002</v>
      </c>
      <c r="I19" s="108">
        <v>-10125.788430000015</v>
      </c>
      <c r="J19" s="108">
        <v>2560.9073899999999</v>
      </c>
      <c r="K19" s="108">
        <v>2206.3168999999998</v>
      </c>
      <c r="L19" s="108">
        <v>9318.9331700000002</v>
      </c>
      <c r="M19" s="108">
        <v>88.348399999999998</v>
      </c>
      <c r="N19" s="108">
        <v>0</v>
      </c>
      <c r="O19" s="108">
        <v>5269.0846000000001</v>
      </c>
      <c r="P19" s="108">
        <v>618.18250000000012</v>
      </c>
      <c r="Q19" s="109" t="s">
        <v>168</v>
      </c>
      <c r="R19" s="108">
        <v>1870.2317599999999</v>
      </c>
      <c r="S19" s="108">
        <v>46050</v>
      </c>
      <c r="T19" s="108">
        <v>15359.336509999999</v>
      </c>
      <c r="U19" s="108">
        <v>14981.576849999999</v>
      </c>
      <c r="V19" s="108">
        <v>21795.266990000004</v>
      </c>
      <c r="W19" s="108">
        <v>2577.8972000000003</v>
      </c>
      <c r="X19" s="108">
        <v>7706.0382</v>
      </c>
      <c r="Y19" s="108">
        <v>44248.585099999997</v>
      </c>
      <c r="Z19" s="108">
        <v>49949.667600000001</v>
      </c>
      <c r="AA19" s="108">
        <v>14704.623</v>
      </c>
      <c r="AB19" s="108">
        <v>73087.184800000003</v>
      </c>
      <c r="AC19" s="108">
        <v>1144.7168999999999</v>
      </c>
      <c r="AD19" s="108">
        <v>20007.871410000003</v>
      </c>
      <c r="AE19" s="108">
        <v>12348.540059999998</v>
      </c>
      <c r="AF19" s="108">
        <v>342.79480000000001</v>
      </c>
      <c r="AG19" s="182">
        <v>150</v>
      </c>
      <c r="AH19" s="185"/>
      <c r="AI19" s="72"/>
      <c r="AK19" s="203" t="str">
        <v>CHELIGDRY</v>
      </c>
      <c r="AL19" t="str">
        <v>N/A</v>
      </c>
      <c r="AM19" t="str">
        <v>N/A</v>
      </c>
      <c r="AN19" t="str">
        <v>N/A</v>
      </c>
      <c r="AO19" t="str">
        <v>N/A</v>
      </c>
      <c r="AP19" t="str">
        <v>N/A</v>
      </c>
      <c r="AQ19" t="str">
        <v>N/A</v>
      </c>
      <c r="AR19" t="str">
        <v>N/A</v>
      </c>
      <c r="AS19" t="str">
        <v>N/A</v>
      </c>
      <c r="AT19" t="str">
        <v>N/A</v>
      </c>
      <c r="AU19" t="str">
        <v>N/A</v>
      </c>
      <c r="AV19" t="str">
        <v>N/A</v>
      </c>
      <c r="AW19" t="str">
        <v>N/A</v>
      </c>
      <c r="AX19" t="str">
        <v>N/A</v>
      </c>
      <c r="AY19" t="str">
        <v>N/A</v>
      </c>
      <c r="AZ19" t="str">
        <v>N/A</v>
      </c>
      <c r="BA19" t="str">
        <v>N/A</v>
      </c>
      <c r="BB19" t="str">
        <v>N/A</v>
      </c>
      <c r="BC19" t="str">
        <v>N/A</v>
      </c>
      <c r="BD19" t="str">
        <v>N/A</v>
      </c>
      <c r="BE19" t="str">
        <v>N/A</v>
      </c>
      <c r="BF19" t="str">
        <v>N/A</v>
      </c>
      <c r="BG19" t="str">
        <v>N/A</v>
      </c>
      <c r="BH19" t="str">
        <v>N/A</v>
      </c>
      <c r="BI19" t="str">
        <v>N/A</v>
      </c>
      <c r="BJ19" t="str">
        <v>N/A</v>
      </c>
      <c r="BK19" t="str">
        <v>N/A</v>
      </c>
      <c r="BL19" t="str">
        <v>N/A</v>
      </c>
      <c r="BM19" t="str">
        <v>N/A</v>
      </c>
      <c r="BN19" t="str">
        <v>N/A</v>
      </c>
      <c r="BO19" t="str">
        <v>N/A</v>
      </c>
      <c r="BP19" t="str">
        <v>N/A</v>
      </c>
      <c r="BQ19" t="str">
        <v>N/A</v>
      </c>
      <c r="BR19" t="str">
        <v>N/A</v>
      </c>
      <c r="BS19" t="str">
        <v>N/A</v>
      </c>
      <c r="BT19" t="str">
        <v>N/A</v>
      </c>
      <c r="BU19" t="str">
        <v>N/A</v>
      </c>
      <c r="BV19" t="str">
        <v>N/A</v>
      </c>
      <c r="BW19" t="str">
        <v>N/A</v>
      </c>
      <c r="BX19" t="str">
        <v>N/A</v>
      </c>
      <c r="BY19" t="str">
        <v>N/A</v>
      </c>
      <c r="BZ19" t="str">
        <v>N/A</v>
      </c>
      <c r="CA19" t="str">
        <v>N/A</v>
      </c>
      <c r="CB19" t="str">
        <v>N/A</v>
      </c>
      <c r="CC19" t="str">
        <v>N/A</v>
      </c>
      <c r="CD19" t="str">
        <v>N/A</v>
      </c>
      <c r="CE19" t="str">
        <v>N/A</v>
      </c>
      <c r="CF19" t="str">
        <v>N/A</v>
      </c>
      <c r="CG19" t="str">
        <v>N/A</v>
      </c>
      <c r="CH19" t="str">
        <v>N/A</v>
      </c>
      <c r="CI19" t="str">
        <v>N/A</v>
      </c>
      <c r="CJ19" t="str">
        <v>N/A</v>
      </c>
      <c r="CK19" t="str">
        <v>N/A</v>
      </c>
      <c r="CL19" t="str">
        <v>N/A</v>
      </c>
      <c r="CM19" t="str">
        <v>N/A</v>
      </c>
      <c r="CN19" t="str">
        <v>N/A</v>
      </c>
      <c r="CO19" t="str">
        <v>N/A</v>
      </c>
      <c r="CP19" t="str">
        <v>N/A</v>
      </c>
      <c r="CQ19" t="str">
        <v>N/A</v>
      </c>
      <c r="CR19" t="str">
        <v>N/A</v>
      </c>
      <c r="CS19" t="str">
        <v>N/A</v>
      </c>
      <c r="CT19" t="str">
        <v>N/A</v>
      </c>
      <c r="CU19">
        <v>13750</v>
      </c>
      <c r="CV19" t="str">
        <v>N/A</v>
      </c>
      <c r="CW19" t="str">
        <v>N/A</v>
      </c>
      <c r="CX19" t="str">
        <v>N/A</v>
      </c>
      <c r="CY19" t="str">
        <v>N/A</v>
      </c>
      <c r="CZ19" t="str">
        <v>N/A</v>
      </c>
      <c r="DA19" t="str">
        <v>N/A</v>
      </c>
      <c r="DB19" t="str">
        <v>N/A</v>
      </c>
      <c r="DC19" t="str">
        <v>N/A</v>
      </c>
      <c r="DD19" t="str">
        <v>N/A</v>
      </c>
      <c r="DE19" t="str">
        <v>N/A</v>
      </c>
      <c r="DF19" t="str">
        <v>N/A</v>
      </c>
      <c r="DG19">
        <v>10910</v>
      </c>
      <c r="DH19">
        <v>5170</v>
      </c>
      <c r="DI19" t="str">
        <v>N/A</v>
      </c>
      <c r="DJ19" t="str">
        <v>N/A</v>
      </c>
      <c r="DK19" t="str">
        <v>N/A</v>
      </c>
      <c r="DL19" t="str">
        <v>N/A</v>
      </c>
      <c r="DM19" t="str">
        <v>N/A</v>
      </c>
      <c r="DN19" t="str">
        <v>N/A</v>
      </c>
      <c r="DO19" t="str">
        <v>N/A</v>
      </c>
      <c r="DP19" t="str">
        <v>N/A</v>
      </c>
      <c r="DQ19" t="str">
        <v>N/A</v>
      </c>
      <c r="DR19" t="str">
        <v>N/A</v>
      </c>
      <c r="DS19" t="str">
        <v>N/A</v>
      </c>
      <c r="DT19" t="str">
        <v>N/A</v>
      </c>
      <c r="DU19" t="str">
        <v>N/A</v>
      </c>
      <c r="DV19" t="str">
        <v>N/A</v>
      </c>
      <c r="DW19" t="str">
        <v>N/A</v>
      </c>
      <c r="DX19" t="str">
        <v>N/A</v>
      </c>
      <c r="DY19" t="str">
        <v>N/A</v>
      </c>
      <c r="DZ19" t="str">
        <v>N/A</v>
      </c>
      <c r="EA19" t="str">
        <v>N/A</v>
      </c>
      <c r="EB19" t="str">
        <v>N/A</v>
      </c>
      <c r="EC19" t="str">
        <v>N/A</v>
      </c>
      <c r="ED19">
        <v>0</v>
      </c>
      <c r="EE19">
        <v>21995.43</v>
      </c>
      <c r="EF19">
        <v>0</v>
      </c>
      <c r="EG19">
        <v>218.08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22000</v>
      </c>
      <c r="FA19">
        <v>0</v>
      </c>
    </row>
    <row r="20" spans="2:157" x14ac:dyDescent="0.25">
      <c r="B20" s="123">
        <f t="shared" si="9"/>
        <v>41943</v>
      </c>
      <c r="C20" s="114">
        <v>5846.6863000000003</v>
      </c>
      <c r="D20" s="114">
        <v>456.87592999999998</v>
      </c>
      <c r="E20" s="114">
        <v>60</v>
      </c>
      <c r="F20" s="114">
        <v>4814.8626599999989</v>
      </c>
      <c r="G20" s="114">
        <v>421414.02742</v>
      </c>
      <c r="H20" s="114">
        <v>5731.8933000000006</v>
      </c>
      <c r="I20" s="114">
        <v>50315.293009999994</v>
      </c>
      <c r="J20" s="114">
        <v>3606.1657999999998</v>
      </c>
      <c r="K20" s="114">
        <v>15949.488599999999</v>
      </c>
      <c r="L20" s="114">
        <v>7426.2221</v>
      </c>
      <c r="M20" s="114">
        <v>11375.35968</v>
      </c>
      <c r="N20" s="114">
        <v>96.194280000000006</v>
      </c>
      <c r="O20" s="114">
        <v>5601.1475599999994</v>
      </c>
      <c r="P20" s="114">
        <v>841.36</v>
      </c>
      <c r="Q20" s="115" t="s">
        <v>168</v>
      </c>
      <c r="R20" s="114">
        <v>3858.2578999999992</v>
      </c>
      <c r="S20" s="114">
        <v>133096</v>
      </c>
      <c r="T20" s="114">
        <v>25769.162619999999</v>
      </c>
      <c r="U20" s="114">
        <v>24065.977699999999</v>
      </c>
      <c r="V20" s="114">
        <v>9516.1368199999997</v>
      </c>
      <c r="W20" s="114">
        <v>4241.1453600000004</v>
      </c>
      <c r="X20" s="114">
        <v>72268.622399999993</v>
      </c>
      <c r="Y20" s="114">
        <v>133056.7205</v>
      </c>
      <c r="Z20" s="114">
        <v>180183.09299999999</v>
      </c>
      <c r="AA20" s="114">
        <v>177642.86916</v>
      </c>
      <c r="AB20" s="114">
        <v>331440.5</v>
      </c>
      <c r="AC20" s="114">
        <v>2791.1669599999996</v>
      </c>
      <c r="AD20" s="114">
        <v>19782.911219999998</v>
      </c>
      <c r="AE20" s="114">
        <v>3578.4933200000009</v>
      </c>
      <c r="AF20" s="91">
        <v>580.14245999999991</v>
      </c>
      <c r="AG20" s="180">
        <v>0</v>
      </c>
      <c r="AH20" s="185"/>
      <c r="AI20" s="72"/>
      <c r="AK20" s="203" t="str">
        <v>SO4MG</v>
      </c>
      <c r="AL20">
        <v>6481</v>
      </c>
      <c r="AM20">
        <v>1767</v>
      </c>
      <c r="AN20">
        <v>2894</v>
      </c>
      <c r="AO20">
        <v>5083.0624000000007</v>
      </c>
      <c r="AP20">
        <v>2148.5151499999997</v>
      </c>
      <c r="AQ20">
        <v>6727.4051999999992</v>
      </c>
      <c r="AR20">
        <v>9764.7391000000007</v>
      </c>
      <c r="AS20">
        <v>2977.0084000000002</v>
      </c>
      <c r="AT20">
        <v>9630.5906999999988</v>
      </c>
      <c r="AU20">
        <v>9360.8162000000011</v>
      </c>
      <c r="AV20">
        <v>7417.3390599999975</v>
      </c>
      <c r="AW20">
        <v>7914.180620000001</v>
      </c>
      <c r="AX20">
        <v>2424.7870199999998</v>
      </c>
      <c r="AY20">
        <v>2096.6735099999996</v>
      </c>
      <c r="AZ20">
        <v>1870.2317599999999</v>
      </c>
      <c r="BA20">
        <v>3858.2578999999992</v>
      </c>
      <c r="BB20">
        <v>1286.6541500000001</v>
      </c>
      <c r="BC20">
        <v>1014.2924600000001</v>
      </c>
      <c r="BD20">
        <v>3850.1759000000006</v>
      </c>
      <c r="BE20">
        <v>7158.7806200000005</v>
      </c>
      <c r="BF20">
        <v>4678.6979299999994</v>
      </c>
      <c r="BG20">
        <v>9153.1814999999988</v>
      </c>
      <c r="BH20">
        <v>1717.17661</v>
      </c>
      <c r="BI20">
        <v>4825.780960000001</v>
      </c>
      <c r="BJ20">
        <v>2974.2430199999999</v>
      </c>
      <c r="BK20">
        <v>1775.0438200000001</v>
      </c>
      <c r="BL20">
        <v>1161.0646599999998</v>
      </c>
      <c r="BM20">
        <v>2961.3437599999997</v>
      </c>
      <c r="BN20">
        <v>800.09522000000004</v>
      </c>
      <c r="BO20">
        <v>1110.4837600000001</v>
      </c>
      <c r="BP20">
        <v>2095.5860600000001</v>
      </c>
      <c r="BQ20">
        <v>3319.9382800000003</v>
      </c>
      <c r="BR20">
        <v>3693.7055600000003</v>
      </c>
      <c r="BS20">
        <v>7699.7619600000007</v>
      </c>
      <c r="BT20">
        <v>3557.6391899999999</v>
      </c>
      <c r="BU20">
        <v>6113.6596199999985</v>
      </c>
      <c r="BV20">
        <v>2440.9552400000002</v>
      </c>
      <c r="BW20">
        <v>702.87666000000002</v>
      </c>
      <c r="BX20">
        <v>1028.9177400000001</v>
      </c>
      <c r="BY20">
        <v>1356.5906099999997</v>
      </c>
      <c r="BZ20">
        <v>1062.85418</v>
      </c>
      <c r="CA20">
        <v>1274.9438700000003</v>
      </c>
      <c r="CB20">
        <v>2518.2554099999998</v>
      </c>
      <c r="CC20">
        <v>2738.4667199999999</v>
      </c>
      <c r="CD20">
        <v>5681.0741400000006</v>
      </c>
      <c r="CE20">
        <v>3406.3331500000004</v>
      </c>
      <c r="CF20">
        <v>3668.5360000000001</v>
      </c>
      <c r="CG20">
        <v>778.16444999999999</v>
      </c>
      <c r="CH20">
        <v>4146.4838699999991</v>
      </c>
      <c r="CI20">
        <v>355.76319999999998</v>
      </c>
      <c r="CJ20">
        <v>1360.64582</v>
      </c>
      <c r="CK20">
        <v>1792.4651199999998</v>
      </c>
      <c r="CL20">
        <v>1103.1380799999999</v>
      </c>
      <c r="CM20">
        <v>436.40440000000001</v>
      </c>
      <c r="CN20">
        <v>331.68299999999999</v>
      </c>
      <c r="CO20">
        <v>1064.7950000000001</v>
      </c>
      <c r="CP20">
        <v>1910.5408600000001</v>
      </c>
      <c r="CQ20">
        <v>2750.5373599999998</v>
      </c>
      <c r="CR20">
        <v>2447.0412200000001</v>
      </c>
      <c r="CS20">
        <v>2017.0038000000002</v>
      </c>
      <c r="CT20">
        <v>1563.626</v>
      </c>
      <c r="CU20">
        <v>263.81790000000001</v>
      </c>
      <c r="CV20">
        <v>881.99545000000001</v>
      </c>
      <c r="CW20">
        <v>1691.1124499999999</v>
      </c>
      <c r="CX20">
        <v>1653.5467599999997</v>
      </c>
      <c r="CY20">
        <v>3221.1585999999998</v>
      </c>
      <c r="CZ20">
        <v>645.46990000000005</v>
      </c>
      <c r="DA20">
        <v>1561.0250999999998</v>
      </c>
      <c r="DB20">
        <v>648.18600000000004</v>
      </c>
      <c r="DC20">
        <v>1335.779</v>
      </c>
      <c r="DD20">
        <v>776.58349999999996</v>
      </c>
      <c r="DE20">
        <v>1849.47165</v>
      </c>
      <c r="DF20">
        <v>776.44166000000007</v>
      </c>
      <c r="DG20">
        <v>184.11510000000001</v>
      </c>
      <c r="DH20">
        <v>24.917750000000002</v>
      </c>
      <c r="DI20">
        <v>1.1046</v>
      </c>
      <c r="DJ20">
        <v>1123.9997000000001</v>
      </c>
      <c r="DK20">
        <v>1363.0884999999998</v>
      </c>
      <c r="DL20">
        <v>4569.4849000000004</v>
      </c>
      <c r="DM20">
        <v>3734.4275999999995</v>
      </c>
      <c r="DN20">
        <v>5376.0984599999992</v>
      </c>
      <c r="DO20">
        <v>2219.6961500000002</v>
      </c>
      <c r="DP20">
        <v>675.04636000000005</v>
      </c>
      <c r="DQ20">
        <v>575.58839999999998</v>
      </c>
      <c r="DR20">
        <v>698.01886000000002</v>
      </c>
      <c r="DS20">
        <v>907.27510000000018</v>
      </c>
      <c r="DT20">
        <v>1499.2920200000001</v>
      </c>
      <c r="DU20">
        <v>1824.0091100000002</v>
      </c>
      <c r="DV20">
        <v>2809.28431</v>
      </c>
      <c r="DW20">
        <v>4060.5696999999996</v>
      </c>
      <c r="DX20">
        <v>3608.2775799999999</v>
      </c>
      <c r="DY20">
        <v>6347.4779199999994</v>
      </c>
      <c r="DZ20">
        <v>7422.762029999998</v>
      </c>
      <c r="EA20">
        <v>6491.7485399999996</v>
      </c>
      <c r="EB20">
        <v>1735.1253999999994</v>
      </c>
      <c r="EC20">
        <v>650.84100999999998</v>
      </c>
      <c r="ED20">
        <v>596.04</v>
      </c>
      <c r="EE20">
        <v>612.79</v>
      </c>
      <c r="EF20">
        <v>22743.79</v>
      </c>
      <c r="EG20">
        <v>13058.28</v>
      </c>
      <c r="EH20">
        <v>2454.21</v>
      </c>
      <c r="EI20">
        <v>3143.47</v>
      </c>
      <c r="EJ20">
        <v>14851.32</v>
      </c>
      <c r="EK20">
        <v>7277.72</v>
      </c>
      <c r="EL20">
        <v>9414.09</v>
      </c>
      <c r="EM20">
        <v>3814.07</v>
      </c>
      <c r="EN20">
        <v>1275.52</v>
      </c>
      <c r="EO20">
        <v>894.29</v>
      </c>
      <c r="EP20">
        <v>504</v>
      </c>
      <c r="EQ20">
        <v>223</v>
      </c>
      <c r="ER20">
        <v>1473</v>
      </c>
      <c r="ES20">
        <v>765</v>
      </c>
      <c r="ET20">
        <v>1556</v>
      </c>
      <c r="EU20">
        <v>2416</v>
      </c>
      <c r="EV20">
        <v>5115</v>
      </c>
      <c r="EW20">
        <v>6321</v>
      </c>
      <c r="EX20">
        <v>6609</v>
      </c>
      <c r="EY20">
        <v>2482</v>
      </c>
      <c r="EZ20">
        <v>2061</v>
      </c>
      <c r="FA20">
        <v>1198</v>
      </c>
    </row>
    <row r="21" spans="2:157" x14ac:dyDescent="0.25">
      <c r="B21" s="123">
        <f t="shared" si="9"/>
        <v>41973</v>
      </c>
      <c r="C21" s="111">
        <v>4225.3613999999998</v>
      </c>
      <c r="D21" s="111">
        <v>69.164699999999996</v>
      </c>
      <c r="E21" s="111">
        <v>2</v>
      </c>
      <c r="F21" s="111">
        <v>2818.5473099999999</v>
      </c>
      <c r="G21" s="111">
        <v>529184.13320000004</v>
      </c>
      <c r="H21" s="111">
        <v>3089.2186999999999</v>
      </c>
      <c r="I21" s="111">
        <v>20538.982110000001</v>
      </c>
      <c r="J21" s="111">
        <v>1954.0536000000002</v>
      </c>
      <c r="K21" s="111">
        <v>1048.70354</v>
      </c>
      <c r="L21" s="111">
        <v>5000.1014499999992</v>
      </c>
      <c r="M21" s="111">
        <v>34.177599999999998</v>
      </c>
      <c r="N21" s="111">
        <v>510</v>
      </c>
      <c r="O21" s="111">
        <v>19581.073199999999</v>
      </c>
      <c r="P21" s="111">
        <v>1017.1715</v>
      </c>
      <c r="Q21" s="112" t="s">
        <v>168</v>
      </c>
      <c r="R21" s="111">
        <v>1286.6541500000001</v>
      </c>
      <c r="S21" s="111">
        <v>145562</v>
      </c>
      <c r="T21" s="111">
        <v>5537.7570999999998</v>
      </c>
      <c r="U21" s="111">
        <v>9349.0807400000012</v>
      </c>
      <c r="V21" s="111">
        <v>1589.6040799999998</v>
      </c>
      <c r="W21" s="111">
        <v>2862.9492</v>
      </c>
      <c r="X21" s="111">
        <v>42713.939299999998</v>
      </c>
      <c r="Y21" s="111">
        <v>105312.7922</v>
      </c>
      <c r="Z21" s="111">
        <v>134980</v>
      </c>
      <c r="AA21" s="111">
        <v>162596.427</v>
      </c>
      <c r="AB21" s="111">
        <v>245194</v>
      </c>
      <c r="AC21" s="111">
        <v>2274.3720199999998</v>
      </c>
      <c r="AD21" s="111">
        <v>5919.8490000000002</v>
      </c>
      <c r="AE21" s="111">
        <v>861.36238000000003</v>
      </c>
      <c r="AF21" s="111">
        <v>96.806600000000003</v>
      </c>
      <c r="AG21" s="181">
        <v>0</v>
      </c>
      <c r="AH21" s="185"/>
      <c r="AI21" s="72"/>
      <c r="AK21" s="203" t="str">
        <v>NO3MG60</v>
      </c>
      <c r="AL21">
        <v>13224</v>
      </c>
      <c r="AM21">
        <v>16840</v>
      </c>
      <c r="AN21">
        <v>40108</v>
      </c>
      <c r="AO21">
        <v>155559</v>
      </c>
      <c r="AP21">
        <v>194801</v>
      </c>
      <c r="AQ21">
        <v>200674.6312</v>
      </c>
      <c r="AR21">
        <v>158161</v>
      </c>
      <c r="AS21">
        <v>151435</v>
      </c>
      <c r="AT21">
        <v>122180.4748</v>
      </c>
      <c r="AU21">
        <v>153671.73120000001</v>
      </c>
      <c r="AV21">
        <v>38582</v>
      </c>
      <c r="AW21">
        <v>20794</v>
      </c>
      <c r="AX21">
        <v>10662</v>
      </c>
      <c r="AY21">
        <v>19520</v>
      </c>
      <c r="AZ21">
        <v>46050</v>
      </c>
      <c r="BA21">
        <v>133096</v>
      </c>
      <c r="BB21">
        <v>145562</v>
      </c>
      <c r="BC21">
        <v>161351.29999999999</v>
      </c>
      <c r="BD21">
        <v>124933.70999999999</v>
      </c>
      <c r="BE21">
        <v>111988</v>
      </c>
      <c r="BF21">
        <v>122395.7696</v>
      </c>
      <c r="BG21">
        <v>122377</v>
      </c>
      <c r="BH21">
        <v>76674</v>
      </c>
      <c r="BI21">
        <v>22625</v>
      </c>
      <c r="BJ21">
        <v>6238</v>
      </c>
      <c r="BK21">
        <v>3813</v>
      </c>
      <c r="BL21">
        <v>48675</v>
      </c>
      <c r="BM21">
        <v>119280</v>
      </c>
      <c r="BN21">
        <v>178576</v>
      </c>
      <c r="BO21">
        <v>147591</v>
      </c>
      <c r="BP21">
        <v>123492</v>
      </c>
      <c r="BQ21">
        <v>155837.5</v>
      </c>
      <c r="BR21">
        <v>114330</v>
      </c>
      <c r="BS21">
        <v>123464</v>
      </c>
      <c r="BT21">
        <v>155841.7696</v>
      </c>
      <c r="BU21">
        <v>49854.186450000001</v>
      </c>
      <c r="BV21">
        <v>83823</v>
      </c>
      <c r="BW21">
        <v>12280.636200000001</v>
      </c>
      <c r="BX21">
        <v>66962</v>
      </c>
      <c r="BY21">
        <v>198148</v>
      </c>
      <c r="BZ21">
        <v>147176.5</v>
      </c>
      <c r="CA21">
        <v>109775</v>
      </c>
      <c r="CB21">
        <v>115796</v>
      </c>
      <c r="CC21">
        <v>92192</v>
      </c>
      <c r="CD21">
        <v>101203.856</v>
      </c>
      <c r="CE21">
        <v>56832</v>
      </c>
      <c r="CF21">
        <v>79286.5</v>
      </c>
      <c r="CG21">
        <v>49608</v>
      </c>
      <c r="CH21">
        <v>4821.6000000000004</v>
      </c>
      <c r="CI21">
        <v>9489</v>
      </c>
      <c r="CJ21">
        <v>27635</v>
      </c>
      <c r="CK21">
        <v>129452.485</v>
      </c>
      <c r="CL21">
        <v>163393</v>
      </c>
      <c r="CM21">
        <v>159642</v>
      </c>
      <c r="CN21">
        <v>147833.20000000001</v>
      </c>
      <c r="CO21">
        <v>136463</v>
      </c>
      <c r="CP21">
        <v>98032</v>
      </c>
      <c r="CQ21">
        <v>81341.600000000006</v>
      </c>
      <c r="CR21">
        <v>46941</v>
      </c>
      <c r="CS21">
        <v>7401</v>
      </c>
      <c r="CT21">
        <v>12554.455399999999</v>
      </c>
      <c r="CU21">
        <v>30506.2</v>
      </c>
      <c r="CV21">
        <v>37249</v>
      </c>
      <c r="CW21">
        <v>127193.4</v>
      </c>
      <c r="CX21">
        <v>161129</v>
      </c>
      <c r="CY21">
        <v>123470</v>
      </c>
      <c r="CZ21">
        <v>141593</v>
      </c>
      <c r="DA21">
        <v>130042</v>
      </c>
      <c r="DB21">
        <v>89310</v>
      </c>
      <c r="DC21">
        <v>83633</v>
      </c>
      <c r="DD21">
        <v>47994</v>
      </c>
      <c r="DE21">
        <v>26374</v>
      </c>
      <c r="DF21">
        <v>8745</v>
      </c>
      <c r="DG21">
        <v>5788</v>
      </c>
      <c r="DH21">
        <v>32650.913399999998</v>
      </c>
      <c r="DI21">
        <v>123882</v>
      </c>
      <c r="DJ21">
        <v>150287</v>
      </c>
      <c r="DK21">
        <v>133435</v>
      </c>
      <c r="DL21">
        <v>178528</v>
      </c>
      <c r="DM21">
        <v>134381</v>
      </c>
      <c r="DN21">
        <v>125186.6624</v>
      </c>
      <c r="DO21">
        <v>40294</v>
      </c>
      <c r="DP21">
        <v>57441</v>
      </c>
      <c r="DQ21">
        <v>9230</v>
      </c>
      <c r="DR21">
        <v>5016.5</v>
      </c>
      <c r="DS21">
        <v>7109.5</v>
      </c>
      <c r="DT21">
        <v>21740</v>
      </c>
      <c r="DU21">
        <v>110779.4</v>
      </c>
      <c r="DV21">
        <v>141070.5</v>
      </c>
      <c r="DW21">
        <v>138518.20000000001</v>
      </c>
      <c r="DX21">
        <v>143486</v>
      </c>
      <c r="DY21">
        <v>122460</v>
      </c>
      <c r="DZ21">
        <v>105589.2</v>
      </c>
      <c r="EA21">
        <v>99849.2</v>
      </c>
      <c r="EB21">
        <v>61859</v>
      </c>
      <c r="EC21">
        <v>21806</v>
      </c>
      <c r="ED21">
        <v>13450</v>
      </c>
      <c r="EE21">
        <v>13253.41</v>
      </c>
      <c r="EF21">
        <v>28385.200000000001</v>
      </c>
      <c r="EG21">
        <v>69298.2</v>
      </c>
      <c r="EH21">
        <v>144128</v>
      </c>
      <c r="EI21">
        <v>166362.29999999999</v>
      </c>
      <c r="EJ21">
        <v>161757.20000000001</v>
      </c>
      <c r="EK21">
        <v>144236.4</v>
      </c>
      <c r="EL21">
        <v>116818.2</v>
      </c>
      <c r="EM21">
        <v>88455</v>
      </c>
      <c r="EN21">
        <v>54626.2</v>
      </c>
      <c r="EO21">
        <v>9050.5</v>
      </c>
      <c r="EP21">
        <v>6656</v>
      </c>
      <c r="EQ21">
        <v>12818</v>
      </c>
      <c r="ER21">
        <v>15034</v>
      </c>
      <c r="ES21">
        <v>74519</v>
      </c>
      <c r="ET21">
        <v>140477</v>
      </c>
      <c r="EU21">
        <v>137513</v>
      </c>
      <c r="EV21">
        <v>108778</v>
      </c>
      <c r="EW21">
        <v>113207</v>
      </c>
      <c r="EX21">
        <v>89226</v>
      </c>
      <c r="EY21">
        <v>57046</v>
      </c>
      <c r="EZ21">
        <v>52786</v>
      </c>
      <c r="FA21">
        <v>9609</v>
      </c>
    </row>
    <row r="22" spans="2:157" ht="15.75" thickBot="1" x14ac:dyDescent="0.3">
      <c r="B22" s="123">
        <f t="shared" si="9"/>
        <v>42004</v>
      </c>
      <c r="C22" s="108">
        <v>5968.1756999999998</v>
      </c>
      <c r="D22" s="108">
        <v>494.77940000000001</v>
      </c>
      <c r="E22" s="108">
        <v>14.006399999999999</v>
      </c>
      <c r="F22" s="108">
        <v>3541.9787900000001</v>
      </c>
      <c r="G22" s="108">
        <v>612165.38152000005</v>
      </c>
      <c r="H22" s="108">
        <v>7773.1815999999981</v>
      </c>
      <c r="I22" s="108">
        <v>28574.524890000001</v>
      </c>
      <c r="J22" s="108">
        <v>4017.1949499999996</v>
      </c>
      <c r="K22" s="108">
        <v>1192.173</v>
      </c>
      <c r="L22" s="108">
        <v>4477.8521900000005</v>
      </c>
      <c r="M22" s="108">
        <v>56395.321999999986</v>
      </c>
      <c r="N22" s="108">
        <v>11613.734</v>
      </c>
      <c r="O22" s="108">
        <v>5673.8688700000002</v>
      </c>
      <c r="P22" s="108">
        <v>299.13249999999999</v>
      </c>
      <c r="Q22" s="109" t="s">
        <v>168</v>
      </c>
      <c r="R22" s="108">
        <v>1014.2924600000001</v>
      </c>
      <c r="S22" s="108">
        <v>161351.29999999999</v>
      </c>
      <c r="T22" s="108">
        <v>9252.0028000000002</v>
      </c>
      <c r="U22" s="108">
        <v>7129.7359999999999</v>
      </c>
      <c r="V22" s="108">
        <v>1476.7736300000001</v>
      </c>
      <c r="W22" s="108">
        <v>6031.4250499999998</v>
      </c>
      <c r="X22" s="108">
        <v>26366.810799999999</v>
      </c>
      <c r="Y22" s="108">
        <v>128353.96679999999</v>
      </c>
      <c r="Z22" s="108">
        <v>176360.1795</v>
      </c>
      <c r="AA22" s="108">
        <v>160058.69358999998</v>
      </c>
      <c r="AB22" s="108">
        <v>208160</v>
      </c>
      <c r="AC22" s="108">
        <v>2687.2395499999993</v>
      </c>
      <c r="AD22" s="108">
        <v>3433.7744000000002</v>
      </c>
      <c r="AE22" s="108">
        <v>952.86763999999994</v>
      </c>
      <c r="AF22" s="108">
        <v>445.95918999999998</v>
      </c>
      <c r="AG22" s="182">
        <v>150</v>
      </c>
      <c r="AH22" s="185"/>
      <c r="AI22" s="72"/>
      <c r="AK22" s="203" t="str">
        <v>NO3MG63</v>
      </c>
      <c r="AL22">
        <v>19366.099999999999</v>
      </c>
      <c r="AM22">
        <v>13108.7</v>
      </c>
      <c r="AN22">
        <v>4722.3999999999996</v>
      </c>
      <c r="AO22">
        <v>14023.18</v>
      </c>
      <c r="AP22">
        <v>5567.7334000000001</v>
      </c>
      <c r="AQ22">
        <v>11547.689999999999</v>
      </c>
      <c r="AR22">
        <v>19584.151400000002</v>
      </c>
      <c r="AS22">
        <v>41658.176999999996</v>
      </c>
      <c r="AT22">
        <v>47352.438999999998</v>
      </c>
      <c r="AU22">
        <v>31276.403100000007</v>
      </c>
      <c r="AV22">
        <v>25183.397370000002</v>
      </c>
      <c r="AW22">
        <v>18171.119499999997</v>
      </c>
      <c r="AX22">
        <v>40597.846489999989</v>
      </c>
      <c r="AY22">
        <v>18009.648000000001</v>
      </c>
      <c r="AZ22">
        <v>15359.336509999999</v>
      </c>
      <c r="BA22">
        <v>25769.162619999999</v>
      </c>
      <c r="BB22">
        <v>5537.7570999999998</v>
      </c>
      <c r="BC22">
        <v>9252.0028000000002</v>
      </c>
      <c r="BD22">
        <v>12115.460499999999</v>
      </c>
      <c r="BE22">
        <v>24552.234009999993</v>
      </c>
      <c r="BF22">
        <v>24943.852360000001</v>
      </c>
      <c r="BG22">
        <v>28006.102919999998</v>
      </c>
      <c r="BH22">
        <v>11315.016389999999</v>
      </c>
      <c r="BI22">
        <v>14990.095899999998</v>
      </c>
      <c r="BJ22">
        <v>14499.525510000001</v>
      </c>
      <c r="BK22">
        <v>22224.121760000002</v>
      </c>
      <c r="BL22">
        <v>28942.290280000001</v>
      </c>
      <c r="BM22">
        <v>-15632.196550000001</v>
      </c>
      <c r="BN22">
        <v>4958.5235599999996</v>
      </c>
      <c r="BO22">
        <v>15177.90724</v>
      </c>
      <c r="BP22">
        <v>9418.5285299999996</v>
      </c>
      <c r="BQ22">
        <v>50758.202109999991</v>
      </c>
      <c r="BR22">
        <v>71268.688359999986</v>
      </c>
      <c r="BS22">
        <v>54257.707119999985</v>
      </c>
      <c r="BT22">
        <v>26414.943439999999</v>
      </c>
      <c r="BU22">
        <v>70639.40284000001</v>
      </c>
      <c r="BV22">
        <v>25532.839059999998</v>
      </c>
      <c r="BW22">
        <v>6669.4412499999989</v>
      </c>
      <c r="BX22">
        <v>13920.597309999997</v>
      </c>
      <c r="BY22">
        <v>9295.4869500000004</v>
      </c>
      <c r="BZ22">
        <v>37198.141529999994</v>
      </c>
      <c r="CA22">
        <v>19102.490639999996</v>
      </c>
      <c r="CB22">
        <v>30452.53368</v>
      </c>
      <c r="CC22">
        <v>56148.910279999989</v>
      </c>
      <c r="CD22">
        <v>48735.700950000006</v>
      </c>
      <c r="CE22">
        <v>31370.176599999995</v>
      </c>
      <c r="CF22">
        <v>21511.654659999997</v>
      </c>
      <c r="CG22">
        <v>17392.466950000002</v>
      </c>
      <c r="CH22">
        <v>38396.243209999993</v>
      </c>
      <c r="CI22">
        <v>19178.449700000001</v>
      </c>
      <c r="CJ22">
        <v>3787.7253499999997</v>
      </c>
      <c r="CK22">
        <v>52451.278960000018</v>
      </c>
      <c r="CL22">
        <v>5903.6039899999996</v>
      </c>
      <c r="CM22">
        <v>5680.2000800000005</v>
      </c>
      <c r="CN22">
        <v>17613.31106</v>
      </c>
      <c r="CO22">
        <v>55992.074749999985</v>
      </c>
      <c r="CP22">
        <v>42042.331479999993</v>
      </c>
      <c r="CQ22">
        <v>40978.835809999997</v>
      </c>
      <c r="CR22">
        <v>30238.926619999998</v>
      </c>
      <c r="CS22">
        <v>31523.340939999998</v>
      </c>
      <c r="CT22">
        <v>19467.366300000002</v>
      </c>
      <c r="CU22">
        <v>18688.764999999999</v>
      </c>
      <c r="CV22">
        <v>10476.644649999998</v>
      </c>
      <c r="CW22">
        <v>14829.3164</v>
      </c>
      <c r="CX22">
        <v>12461.94392</v>
      </c>
      <c r="CY22">
        <v>4867.6000000000004</v>
      </c>
      <c r="CZ22">
        <v>46322.524359999996</v>
      </c>
      <c r="DA22">
        <v>67313.232799999969</v>
      </c>
      <c r="DB22">
        <v>17210.886590000002</v>
      </c>
      <c r="DC22">
        <v>36101.008500000011</v>
      </c>
      <c r="DD22">
        <v>27855.085680000004</v>
      </c>
      <c r="DE22">
        <v>20519.28715</v>
      </c>
      <c r="DF22">
        <v>10516.907509999999</v>
      </c>
      <c r="DG22">
        <v>3554.6472999999996</v>
      </c>
      <c r="DH22">
        <v>2037.6</v>
      </c>
      <c r="DI22">
        <v>734.69705999999996</v>
      </c>
      <c r="DJ22">
        <v>12909.690399999999</v>
      </c>
      <c r="DK22">
        <v>3735.6</v>
      </c>
      <c r="DL22">
        <v>15682.521400000001</v>
      </c>
      <c r="DM22">
        <v>55249.141229999987</v>
      </c>
      <c r="DN22">
        <v>35617.889009999992</v>
      </c>
      <c r="DO22">
        <v>63465.2762</v>
      </c>
      <c r="DP22">
        <v>12196.002410000001</v>
      </c>
      <c r="DQ22">
        <v>8462.0774000000001</v>
      </c>
      <c r="DR22">
        <v>15045.39186</v>
      </c>
      <c r="DS22">
        <v>6144.1130499999999</v>
      </c>
      <c r="DT22">
        <v>5245.0306</v>
      </c>
      <c r="DU22">
        <v>4334.8122599999997</v>
      </c>
      <c r="DV22">
        <v>3126.0288</v>
      </c>
      <c r="DW22">
        <v>8452.5692500000005</v>
      </c>
      <c r="DX22">
        <v>7918.65726</v>
      </c>
      <c r="DY22">
        <v>34034.741700000006</v>
      </c>
      <c r="DZ22">
        <v>31175.262609999998</v>
      </c>
      <c r="EA22">
        <v>19322.540300000004</v>
      </c>
      <c r="EB22">
        <v>17821.434100000002</v>
      </c>
      <c r="EC22">
        <v>27866.383299999998</v>
      </c>
      <c r="ED22">
        <v>23431.84</v>
      </c>
      <c r="EE22">
        <v>3851.04</v>
      </c>
      <c r="EF22">
        <v>7593.16</v>
      </c>
      <c r="EG22">
        <v>340.94</v>
      </c>
      <c r="EH22">
        <v>3679</v>
      </c>
      <c r="EI22">
        <v>4103.5</v>
      </c>
      <c r="EJ22">
        <v>11162.35</v>
      </c>
      <c r="EK22">
        <v>42131.5</v>
      </c>
      <c r="EL22">
        <v>28573.62</v>
      </c>
      <c r="EM22">
        <v>22424.92</v>
      </c>
      <c r="EN22">
        <v>12594.43</v>
      </c>
      <c r="EO22">
        <v>6876.11</v>
      </c>
      <c r="EP22">
        <v>7332</v>
      </c>
      <c r="EQ22">
        <v>2205</v>
      </c>
      <c r="ER22">
        <v>12433</v>
      </c>
      <c r="ES22">
        <v>0</v>
      </c>
      <c r="ET22">
        <v>0</v>
      </c>
      <c r="EU22">
        <v>2151</v>
      </c>
      <c r="EV22">
        <v>1733</v>
      </c>
      <c r="EW22">
        <v>22941</v>
      </c>
      <c r="EX22">
        <v>21046</v>
      </c>
      <c r="EY22">
        <v>18135</v>
      </c>
      <c r="EZ22">
        <v>17791</v>
      </c>
      <c r="FA22">
        <v>9802</v>
      </c>
    </row>
    <row r="23" spans="2:157" x14ac:dyDescent="0.25">
      <c r="B23" s="123">
        <f t="shared" si="9"/>
        <v>42035</v>
      </c>
      <c r="C23" s="114">
        <v>7114.4306000000006</v>
      </c>
      <c r="D23" s="114">
        <v>105.68640000000001</v>
      </c>
      <c r="E23" s="114">
        <v>17</v>
      </c>
      <c r="F23" s="114">
        <v>6637.9951000000001</v>
      </c>
      <c r="G23" s="114">
        <v>445276.92206000001</v>
      </c>
      <c r="H23" s="114">
        <v>13283.767</v>
      </c>
      <c r="I23" s="114">
        <v>60946.992160000002</v>
      </c>
      <c r="J23" s="114">
        <v>4048.9937399999994</v>
      </c>
      <c r="K23" s="114">
        <v>40233.395200000006</v>
      </c>
      <c r="L23" s="114">
        <v>7720.8194600000006</v>
      </c>
      <c r="M23" s="114">
        <v>5411.1530000000002</v>
      </c>
      <c r="N23" s="114">
        <v>422.37383999999997</v>
      </c>
      <c r="O23" s="114">
        <v>8809.264360000001</v>
      </c>
      <c r="P23" s="114">
        <v>889.71</v>
      </c>
      <c r="Q23" s="115" t="s">
        <v>168</v>
      </c>
      <c r="R23" s="114">
        <v>3850.1759000000006</v>
      </c>
      <c r="S23" s="114">
        <v>124933.70999999999</v>
      </c>
      <c r="T23" s="114">
        <v>12115.460499999999</v>
      </c>
      <c r="U23" s="114">
        <v>75873.28820000001</v>
      </c>
      <c r="V23" s="114">
        <v>5586.7505000000001</v>
      </c>
      <c r="W23" s="114">
        <v>3268.3053</v>
      </c>
      <c r="X23" s="114">
        <v>42705.643399999994</v>
      </c>
      <c r="Y23" s="114">
        <v>83568.739199999996</v>
      </c>
      <c r="Z23" s="114">
        <v>132743.76032</v>
      </c>
      <c r="AA23" s="114">
        <v>151767.87166</v>
      </c>
      <c r="AB23" s="114">
        <v>133526.61479999998</v>
      </c>
      <c r="AC23" s="114">
        <v>3583.923299999999</v>
      </c>
      <c r="AD23" s="114">
        <v>54139.640600000006</v>
      </c>
      <c r="AE23" s="114">
        <v>4280.42202</v>
      </c>
      <c r="AF23" s="91">
        <v>243.92726000000002</v>
      </c>
      <c r="AG23" s="180">
        <v>-200</v>
      </c>
      <c r="AH23" s="185"/>
      <c r="AI23" s="72"/>
      <c r="AK23" s="203" t="str">
        <v>NO3MN</v>
      </c>
      <c r="AL23">
        <v>26788</v>
      </c>
      <c r="AM23">
        <v>41745</v>
      </c>
      <c r="AN23">
        <v>4011.4</v>
      </c>
      <c r="AO23">
        <v>31475.721540000002</v>
      </c>
      <c r="AP23">
        <v>16947.412799999998</v>
      </c>
      <c r="AQ23">
        <v>17397</v>
      </c>
      <c r="AR23">
        <v>24871.95191</v>
      </c>
      <c r="AS23">
        <v>13154.546039999999</v>
      </c>
      <c r="AT23">
        <v>86332.448199999999</v>
      </c>
      <c r="AU23">
        <v>67400.711399999986</v>
      </c>
      <c r="AV23">
        <v>96094.873650000009</v>
      </c>
      <c r="AW23">
        <v>33156.983479999995</v>
      </c>
      <c r="AX23">
        <v>73579.413249999998</v>
      </c>
      <c r="AY23">
        <v>47104.115739999994</v>
      </c>
      <c r="AZ23">
        <v>14981.576849999999</v>
      </c>
      <c r="BA23">
        <v>24065.977699999999</v>
      </c>
      <c r="BB23">
        <v>9349.0807400000012</v>
      </c>
      <c r="BC23">
        <v>7129.7359999999999</v>
      </c>
      <c r="BD23">
        <v>75873.28820000001</v>
      </c>
      <c r="BE23">
        <v>45556.223839999999</v>
      </c>
      <c r="BF23">
        <v>27148.466960000002</v>
      </c>
      <c r="BG23">
        <v>65543.007119999995</v>
      </c>
      <c r="BH23">
        <v>27567.336579999996</v>
      </c>
      <c r="BI23">
        <v>25548.997800000001</v>
      </c>
      <c r="BJ23">
        <v>35767.892069999994</v>
      </c>
      <c r="BK23">
        <v>8801.373520000001</v>
      </c>
      <c r="BL23">
        <v>24252.825780000003</v>
      </c>
      <c r="BM23">
        <v>11059.097699999998</v>
      </c>
      <c r="BN23">
        <v>12050.780060000001</v>
      </c>
      <c r="BO23">
        <v>12666.524379999999</v>
      </c>
      <c r="BP23">
        <v>7384.9369299999998</v>
      </c>
      <c r="BQ23">
        <v>18899.531809999997</v>
      </c>
      <c r="BR23">
        <v>41858.286460000003</v>
      </c>
      <c r="BS23">
        <v>61398.192820000004</v>
      </c>
      <c r="BT23">
        <v>31131.164299999997</v>
      </c>
      <c r="BU23">
        <v>93125.531390000033</v>
      </c>
      <c r="BV23">
        <v>29178.639770000002</v>
      </c>
      <c r="BW23">
        <v>17675.179329999999</v>
      </c>
      <c r="BX23">
        <v>29905.593009999993</v>
      </c>
      <c r="BY23">
        <v>19914.614510000003</v>
      </c>
      <c r="BZ23">
        <v>33763.147330000007</v>
      </c>
      <c r="CA23">
        <v>15914.433060000001</v>
      </c>
      <c r="CB23">
        <v>36380.825240000006</v>
      </c>
      <c r="CC23">
        <v>50953.842400000001</v>
      </c>
      <c r="CD23">
        <v>122790.16565</v>
      </c>
      <c r="CE23">
        <v>132101.71596000003</v>
      </c>
      <c r="CF23">
        <v>158422.65891999996</v>
      </c>
      <c r="CG23">
        <v>87572.35834999998</v>
      </c>
      <c r="CH23">
        <v>76809.727079999997</v>
      </c>
      <c r="CI23">
        <v>77126.375100000019</v>
      </c>
      <c r="CJ23">
        <v>11033.754010000001</v>
      </c>
      <c r="CK23">
        <v>110321.55324000004</v>
      </c>
      <c r="CL23">
        <v>48271.570629999995</v>
      </c>
      <c r="CM23">
        <v>39537.59145</v>
      </c>
      <c r="CN23">
        <v>23504.85052</v>
      </c>
      <c r="CO23">
        <v>150774.86235000001</v>
      </c>
      <c r="CP23">
        <v>157585.63090000005</v>
      </c>
      <c r="CQ23">
        <v>164017.96823</v>
      </c>
      <c r="CR23">
        <v>118464.65004000002</v>
      </c>
      <c r="CS23">
        <v>75408.765339999998</v>
      </c>
      <c r="CT23">
        <v>69078.580900000001</v>
      </c>
      <c r="CU23">
        <v>55325.565119999999</v>
      </c>
      <c r="CV23">
        <v>68765.122250000015</v>
      </c>
      <c r="CW23">
        <v>107364.43316000002</v>
      </c>
      <c r="CX23">
        <v>51094.174820000007</v>
      </c>
      <c r="CY23">
        <v>25868.550000000003</v>
      </c>
      <c r="CZ23">
        <v>50945.219320000004</v>
      </c>
      <c r="DA23">
        <v>135695.66144000003</v>
      </c>
      <c r="DB23">
        <v>86776.17932000001</v>
      </c>
      <c r="DC23">
        <v>77613.179900000017</v>
      </c>
      <c r="DD23">
        <v>153804.25937999997</v>
      </c>
      <c r="DE23">
        <v>41299.621849999996</v>
      </c>
      <c r="DF23">
        <v>70181.056870000015</v>
      </c>
      <c r="DG23">
        <v>43147.137940000001</v>
      </c>
      <c r="DH23">
        <v>20216.675899999998</v>
      </c>
      <c r="DI23">
        <v>77411.018620000017</v>
      </c>
      <c r="DJ23">
        <v>13176.327879999999</v>
      </c>
      <c r="DK23">
        <v>26552.286599999999</v>
      </c>
      <c r="DL23">
        <v>40310.780160000002</v>
      </c>
      <c r="DM23">
        <v>71193.112290000005</v>
      </c>
      <c r="DN23">
        <v>113718.26016000002</v>
      </c>
      <c r="DO23">
        <v>58561.928599999999</v>
      </c>
      <c r="DP23">
        <v>87261.223530000032</v>
      </c>
      <c r="DQ23">
        <v>73132.923900000023</v>
      </c>
      <c r="DR23">
        <v>53069.321619999995</v>
      </c>
      <c r="DS23">
        <v>42432.572900000006</v>
      </c>
      <c r="DT23">
        <v>48591.04434</v>
      </c>
      <c r="DU23">
        <v>43447.118360000008</v>
      </c>
      <c r="DV23">
        <v>5240.63</v>
      </c>
      <c r="DW23">
        <v>27396.773200000003</v>
      </c>
      <c r="DX23">
        <v>28769.76612</v>
      </c>
      <c r="DY23">
        <v>42816.830700000006</v>
      </c>
      <c r="DZ23">
        <v>91251.92697000003</v>
      </c>
      <c r="EA23">
        <v>99907.615660000025</v>
      </c>
      <c r="EB23">
        <v>88982.259500000015</v>
      </c>
      <c r="EC23">
        <v>41719.297899999998</v>
      </c>
      <c r="ED23">
        <v>79888.87</v>
      </c>
      <c r="EE23">
        <v>33526.03</v>
      </c>
      <c r="EF23">
        <v>31497.81</v>
      </c>
      <c r="EG23">
        <v>35957.82</v>
      </c>
      <c r="EH23">
        <v>6520.86</v>
      </c>
      <c r="EI23">
        <v>6034.6</v>
      </c>
      <c r="EJ23">
        <v>31072.34</v>
      </c>
      <c r="EK23">
        <v>39985.32</v>
      </c>
      <c r="EL23">
        <v>62297.59</v>
      </c>
      <c r="EM23">
        <v>38103.06</v>
      </c>
      <c r="EN23">
        <v>56917.99</v>
      </c>
      <c r="EO23">
        <v>13839.72</v>
      </c>
      <c r="EP23">
        <v>45337</v>
      </c>
      <c r="EQ23">
        <v>18836</v>
      </c>
      <c r="ER23">
        <v>9775</v>
      </c>
      <c r="ES23">
        <v>3773</v>
      </c>
      <c r="ET23">
        <v>7158</v>
      </c>
      <c r="EU23">
        <v>19903</v>
      </c>
      <c r="EV23">
        <v>2669</v>
      </c>
      <c r="EW23">
        <v>26410</v>
      </c>
      <c r="EX23">
        <v>39501</v>
      </c>
      <c r="EY23">
        <v>36520</v>
      </c>
      <c r="EZ23">
        <v>32128</v>
      </c>
      <c r="FA23">
        <v>25498</v>
      </c>
    </row>
    <row r="24" spans="2:157" x14ac:dyDescent="0.25">
      <c r="B24" s="123">
        <f t="shared" si="9"/>
        <v>42063</v>
      </c>
      <c r="C24" s="111">
        <v>2009.5335</v>
      </c>
      <c r="D24" s="111">
        <v>19078.294559999998</v>
      </c>
      <c r="E24" s="111">
        <v>1.4170499999999999</v>
      </c>
      <c r="F24" s="111">
        <v>11012.01656</v>
      </c>
      <c r="G24" s="111">
        <v>439520.50283999997</v>
      </c>
      <c r="H24" s="111">
        <v>11129.164299999999</v>
      </c>
      <c r="I24" s="111">
        <v>71036.96974</v>
      </c>
      <c r="J24" s="111">
        <v>6645.2084999999997</v>
      </c>
      <c r="K24" s="111">
        <v>797.64848999999981</v>
      </c>
      <c r="L24" s="111">
        <v>11284.227269999999</v>
      </c>
      <c r="M24" s="111">
        <v>3057.69</v>
      </c>
      <c r="N24" s="111">
        <v>1257.3440000000001</v>
      </c>
      <c r="O24" s="111">
        <v>2658.7350500000002</v>
      </c>
      <c r="P24" s="111">
        <v>5339.5950000000003</v>
      </c>
      <c r="Q24" s="112" t="s">
        <v>168</v>
      </c>
      <c r="R24" s="111">
        <v>7158.7806200000005</v>
      </c>
      <c r="S24" s="111">
        <v>111988</v>
      </c>
      <c r="T24" s="111">
        <v>24552.234009999993</v>
      </c>
      <c r="U24" s="111">
        <v>45556.223839999999</v>
      </c>
      <c r="V24" s="111">
        <v>14794.295460000003</v>
      </c>
      <c r="W24" s="111">
        <v>8704.4006900000004</v>
      </c>
      <c r="X24" s="111">
        <v>10728.671400000001</v>
      </c>
      <c r="Y24" s="111">
        <v>240658.59226</v>
      </c>
      <c r="Z24" s="111">
        <v>111531.73011</v>
      </c>
      <c r="AA24" s="111">
        <v>117689.50623</v>
      </c>
      <c r="AB24" s="111">
        <v>118933</v>
      </c>
      <c r="AC24" s="111">
        <v>4469.9378500000003</v>
      </c>
      <c r="AD24" s="111">
        <v>24024.325150000001</v>
      </c>
      <c r="AE24" s="111">
        <v>23123.895189999999</v>
      </c>
      <c r="AF24" s="111">
        <v>126.33387</v>
      </c>
      <c r="AG24" s="181">
        <v>300</v>
      </c>
      <c r="AH24" s="185"/>
      <c r="AI24" s="72"/>
      <c r="AK24" s="203" t="str">
        <v>SO4MN32</v>
      </c>
      <c r="AL24">
        <v>20020</v>
      </c>
      <c r="AM24">
        <v>19573</v>
      </c>
      <c r="AN24">
        <v>12131</v>
      </c>
      <c r="AO24">
        <v>17838.136000000002</v>
      </c>
      <c r="AP24">
        <v>4098.7575999999999</v>
      </c>
      <c r="AQ24">
        <v>5569.5830999999989</v>
      </c>
      <c r="AR24">
        <v>19339.222549999999</v>
      </c>
      <c r="AS24">
        <v>17035.224049999997</v>
      </c>
      <c r="AT24">
        <v>18936.261499999997</v>
      </c>
      <c r="AU24">
        <v>35839.283299999996</v>
      </c>
      <c r="AV24">
        <v>11837.607839999999</v>
      </c>
      <c r="AW24">
        <v>24925.304159999996</v>
      </c>
      <c r="AX24">
        <v>16976.931919999999</v>
      </c>
      <c r="AY24">
        <v>13472.568430000001</v>
      </c>
      <c r="AZ24">
        <v>21795.266990000004</v>
      </c>
      <c r="BA24">
        <v>9516.1368199999997</v>
      </c>
      <c r="BB24">
        <v>1589.6040799999998</v>
      </c>
      <c r="BC24">
        <v>1476.7736300000001</v>
      </c>
      <c r="BD24">
        <v>5586.7505000000001</v>
      </c>
      <c r="BE24">
        <v>14794.295460000003</v>
      </c>
      <c r="BF24">
        <v>21769.295610000001</v>
      </c>
      <c r="BG24">
        <v>38578.324269999997</v>
      </c>
      <c r="BH24">
        <v>35415.225489999997</v>
      </c>
      <c r="BI24">
        <v>9990.8266199999998</v>
      </c>
      <c r="BJ24">
        <v>12165.193679999998</v>
      </c>
      <c r="BK24">
        <v>18406.560300000001</v>
      </c>
      <c r="BL24">
        <v>26506.278120000006</v>
      </c>
      <c r="BM24">
        <v>4190.5451800000001</v>
      </c>
      <c r="BN24">
        <v>6012.8805300000004</v>
      </c>
      <c r="BO24">
        <v>3587.0202100000001</v>
      </c>
      <c r="BP24">
        <v>4269.8420800000004</v>
      </c>
      <c r="BQ24">
        <v>15442.843060000001</v>
      </c>
      <c r="BR24">
        <v>20272.450950000006</v>
      </c>
      <c r="BS24">
        <v>49343.459659999993</v>
      </c>
      <c r="BT24">
        <v>28026.420609999994</v>
      </c>
      <c r="BU24">
        <v>25231.20407</v>
      </c>
      <c r="BV24">
        <v>8203.5868399999999</v>
      </c>
      <c r="BW24">
        <v>21431.727379999997</v>
      </c>
      <c r="BX24">
        <v>2984.45091</v>
      </c>
      <c r="BY24">
        <v>4589.2401000000009</v>
      </c>
      <c r="BZ24">
        <v>1388.2468899999999</v>
      </c>
      <c r="CA24">
        <v>2652.79898</v>
      </c>
      <c r="CB24">
        <v>5311.1062300000021</v>
      </c>
      <c r="CC24">
        <v>18756.721120000002</v>
      </c>
      <c r="CD24">
        <v>11879.455569999998</v>
      </c>
      <c r="CE24">
        <v>12240.187000000002</v>
      </c>
      <c r="CF24">
        <v>6578.7200200000007</v>
      </c>
      <c r="CG24">
        <v>13465.594500000001</v>
      </c>
      <c r="CH24">
        <v>11908.875180000001</v>
      </c>
      <c r="CI24">
        <v>5116.7530999999999</v>
      </c>
      <c r="CJ24">
        <v>1109.6707299999998</v>
      </c>
      <c r="CK24">
        <v>4876.4503599999998</v>
      </c>
      <c r="CL24">
        <v>4379.5582600000007</v>
      </c>
      <c r="CM24">
        <v>8511.5566999999992</v>
      </c>
      <c r="CN24">
        <v>4688.9642000000013</v>
      </c>
      <c r="CO24">
        <v>9358.5942500000001</v>
      </c>
      <c r="CP24">
        <v>26749.518189999999</v>
      </c>
      <c r="CQ24">
        <v>4407.7156999999988</v>
      </c>
      <c r="CR24">
        <v>11975.13206</v>
      </c>
      <c r="CS24">
        <v>5361.3087000000005</v>
      </c>
      <c r="CT24">
        <v>7550.3179500000015</v>
      </c>
      <c r="CU24">
        <v>3308.2661000000003</v>
      </c>
      <c r="CV24">
        <v>5463.9422200000008</v>
      </c>
      <c r="CW24">
        <v>2772.0570199999997</v>
      </c>
      <c r="CX24">
        <v>3477.7017000000005</v>
      </c>
      <c r="CY24">
        <v>2391.1044499999998</v>
      </c>
      <c r="CZ24">
        <v>9057.0910299999978</v>
      </c>
      <c r="DA24">
        <v>12914.868900000001</v>
      </c>
      <c r="DB24">
        <v>14024.092959999998</v>
      </c>
      <c r="DC24">
        <v>8874.4371499999997</v>
      </c>
      <c r="DD24">
        <v>8720.4511600000005</v>
      </c>
      <c r="DE24">
        <v>13038.108919999999</v>
      </c>
      <c r="DF24">
        <v>13380.186079999996</v>
      </c>
      <c r="DG24">
        <v>3874.9877599999995</v>
      </c>
      <c r="DH24">
        <v>6018.3463099999981</v>
      </c>
      <c r="DI24">
        <v>3008.1726100000001</v>
      </c>
      <c r="DJ24">
        <v>2201.1776500000001</v>
      </c>
      <c r="DK24">
        <v>3616.6893999999998</v>
      </c>
      <c r="DL24">
        <v>8601.9891000000007</v>
      </c>
      <c r="DM24">
        <v>24189.28599</v>
      </c>
      <c r="DN24">
        <v>18145.591379999998</v>
      </c>
      <c r="DO24">
        <v>9126.4905999999992</v>
      </c>
      <c r="DP24">
        <v>1619.5497500000001</v>
      </c>
      <c r="DQ24">
        <v>10888.985189999999</v>
      </c>
      <c r="DR24">
        <v>1678.8571100000001</v>
      </c>
      <c r="DS24">
        <v>8497.4593999999997</v>
      </c>
      <c r="DT24">
        <v>3517.0553499999996</v>
      </c>
      <c r="DU24">
        <v>6746.8173300000017</v>
      </c>
      <c r="DV24">
        <v>1255.78728</v>
      </c>
      <c r="DW24">
        <v>3524.5357399999998</v>
      </c>
      <c r="DX24">
        <v>3053.76413</v>
      </c>
      <c r="DY24">
        <v>18577.173360000001</v>
      </c>
      <c r="DZ24">
        <v>11052.394589999996</v>
      </c>
      <c r="EA24">
        <v>10710.410739999998</v>
      </c>
      <c r="EB24">
        <v>8094.4041000000007</v>
      </c>
      <c r="EC24">
        <v>5378.5463300000001</v>
      </c>
      <c r="ED24">
        <v>4029.86</v>
      </c>
      <c r="EE24">
        <v>1553.42</v>
      </c>
      <c r="EF24">
        <v>1665.78</v>
      </c>
      <c r="EG24">
        <v>2090.79</v>
      </c>
      <c r="EH24">
        <v>27173.07</v>
      </c>
      <c r="EI24">
        <v>2579.5300000000002</v>
      </c>
      <c r="EJ24">
        <v>26305.02</v>
      </c>
      <c r="EK24">
        <v>13483.12</v>
      </c>
      <c r="EL24">
        <v>12749.27</v>
      </c>
      <c r="EM24">
        <v>7284.29</v>
      </c>
      <c r="EN24">
        <v>6619.32</v>
      </c>
      <c r="EO24">
        <v>6463.59</v>
      </c>
      <c r="EP24">
        <v>4977</v>
      </c>
      <c r="EQ24">
        <v>4512</v>
      </c>
      <c r="ER24">
        <v>1937</v>
      </c>
      <c r="ES24">
        <v>2056</v>
      </c>
      <c r="ET24">
        <v>1765</v>
      </c>
      <c r="EU24">
        <v>1831</v>
      </c>
      <c r="EV24">
        <v>6780</v>
      </c>
      <c r="EW24">
        <v>14033</v>
      </c>
      <c r="EX24">
        <v>14533</v>
      </c>
      <c r="EY24">
        <v>4395</v>
      </c>
      <c r="EZ24">
        <v>4082</v>
      </c>
      <c r="FA24">
        <v>1670</v>
      </c>
    </row>
    <row r="25" spans="2:157" ht="15.75" thickBot="1" x14ac:dyDescent="0.3">
      <c r="B25" s="123">
        <f t="shared" si="9"/>
        <v>42094</v>
      </c>
      <c r="C25" s="108">
        <v>30915.259500000004</v>
      </c>
      <c r="D25" s="108">
        <v>31388.719649999995</v>
      </c>
      <c r="E25" s="108">
        <v>2552.4560999999999</v>
      </c>
      <c r="F25" s="108">
        <v>10487.734389999996</v>
      </c>
      <c r="G25" s="108">
        <v>364145.61593999999</v>
      </c>
      <c r="H25" s="108">
        <v>10918.019050000001</v>
      </c>
      <c r="I25" s="108">
        <v>93727.019719999982</v>
      </c>
      <c r="J25" s="108">
        <v>13050.884959999998</v>
      </c>
      <c r="K25" s="108">
        <v>13067.235639999999</v>
      </c>
      <c r="L25" s="108">
        <v>9714.7187799999992</v>
      </c>
      <c r="M25" s="108">
        <v>5615.1562000000004</v>
      </c>
      <c r="N25" s="108">
        <v>305.28316000000001</v>
      </c>
      <c r="O25" s="108">
        <v>15484.73775</v>
      </c>
      <c r="P25" s="108">
        <v>2421.0610000000006</v>
      </c>
      <c r="Q25" s="109" t="s">
        <v>168</v>
      </c>
      <c r="R25" s="108">
        <v>4678.6979299999994</v>
      </c>
      <c r="S25" s="108">
        <v>122395.7696</v>
      </c>
      <c r="T25" s="108">
        <v>24943.852360000001</v>
      </c>
      <c r="U25" s="108">
        <v>27148.466960000002</v>
      </c>
      <c r="V25" s="108">
        <v>21769.295610000001</v>
      </c>
      <c r="W25" s="108">
        <v>41918.0599</v>
      </c>
      <c r="X25" s="108">
        <v>19771.725199999997</v>
      </c>
      <c r="Y25" s="108">
        <v>80955.570500000002</v>
      </c>
      <c r="Z25" s="108">
        <v>140126.8554</v>
      </c>
      <c r="AA25" s="108">
        <v>130330.76876000001</v>
      </c>
      <c r="AB25" s="108">
        <v>345732.3456</v>
      </c>
      <c r="AC25" s="108">
        <v>13001.919299999998</v>
      </c>
      <c r="AD25" s="108">
        <v>63377.895879999996</v>
      </c>
      <c r="AE25" s="108">
        <v>22101.732900000003</v>
      </c>
      <c r="AF25" s="108">
        <v>-162.20984000000004</v>
      </c>
      <c r="AG25" s="182">
        <v>2348.3325999999997</v>
      </c>
      <c r="AH25" s="185"/>
      <c r="AI25" s="72"/>
      <c r="AK25" s="203" t="str">
        <v>NPK2800</v>
      </c>
      <c r="AL25">
        <v>17314</v>
      </c>
      <c r="AM25">
        <v>8019</v>
      </c>
      <c r="AN25">
        <v>4611.2</v>
      </c>
      <c r="AO25">
        <v>6919.0343999999996</v>
      </c>
      <c r="AP25">
        <v>8268.3322000000007</v>
      </c>
      <c r="AQ25">
        <v>6975.8341999999993</v>
      </c>
      <c r="AR25">
        <v>11324.35</v>
      </c>
      <c r="AS25">
        <v>6772.0315000000001</v>
      </c>
      <c r="AT25">
        <v>32418.374799999998</v>
      </c>
      <c r="AU25">
        <v>8404.5662000000011</v>
      </c>
      <c r="AV25">
        <v>17514.754199999999</v>
      </c>
      <c r="AW25">
        <v>2858.40452</v>
      </c>
      <c r="AX25">
        <v>9788.0869000000002</v>
      </c>
      <c r="AY25">
        <v>10537.485400000003</v>
      </c>
      <c r="AZ25">
        <v>2577.8972000000003</v>
      </c>
      <c r="BA25">
        <v>4241.1453600000004</v>
      </c>
      <c r="BB25">
        <v>2862.9492</v>
      </c>
      <c r="BC25">
        <v>6031.4250499999998</v>
      </c>
      <c r="BD25">
        <v>3268.3053</v>
      </c>
      <c r="BE25">
        <v>8704.4006900000004</v>
      </c>
      <c r="BF25">
        <v>41918.0599</v>
      </c>
      <c r="BG25">
        <v>13741.3549</v>
      </c>
      <c r="BH25">
        <v>13799.857</v>
      </c>
      <c r="BI25">
        <v>5719.10185</v>
      </c>
      <c r="BJ25">
        <v>16658.696799999998</v>
      </c>
      <c r="BK25">
        <v>4740.1915500000005</v>
      </c>
      <c r="BL25">
        <v>3407.4308499999997</v>
      </c>
      <c r="BM25">
        <v>7004.330939999998</v>
      </c>
      <c r="BN25">
        <v>1830.1264000000001</v>
      </c>
      <c r="BO25">
        <v>3265.4773</v>
      </c>
      <c r="BP25">
        <v>8610.701500000001</v>
      </c>
      <c r="BQ25">
        <v>7688.6795499999998</v>
      </c>
      <c r="BR25">
        <v>48412.264499999997</v>
      </c>
      <c r="BS25">
        <v>10392.662249999999</v>
      </c>
      <c r="BT25">
        <v>12925.114100000001</v>
      </c>
      <c r="BU25">
        <v>8455.6010999999999</v>
      </c>
      <c r="BV25">
        <v>13590.421499999999</v>
      </c>
      <c r="BW25">
        <v>5316.3772500000014</v>
      </c>
      <c r="BX25">
        <v>6969.0598599999994</v>
      </c>
      <c r="BY25">
        <v>5834.9913099999994</v>
      </c>
      <c r="BZ25">
        <v>6171.8331099999996</v>
      </c>
      <c r="CA25">
        <v>3420.0335599999999</v>
      </c>
      <c r="CB25">
        <v>14330.600210000002</v>
      </c>
      <c r="CC25">
        <v>2356.1593000000003</v>
      </c>
      <c r="CD25">
        <v>38863.703269999998</v>
      </c>
      <c r="CE25">
        <v>8627.7993599999991</v>
      </c>
      <c r="CF25">
        <v>11553.5756</v>
      </c>
      <c r="CG25">
        <v>6527.5101599999998</v>
      </c>
      <c r="CH25">
        <v>6468.7285000000002</v>
      </c>
      <c r="CI25">
        <v>3447.0969999999998</v>
      </c>
      <c r="CJ25">
        <v>1169.3</v>
      </c>
      <c r="CK25">
        <v>7846.6957999999995</v>
      </c>
      <c r="CL25">
        <v>5528.9175000000005</v>
      </c>
      <c r="CM25">
        <v>10762.2075</v>
      </c>
      <c r="CN25">
        <v>9457.0639599999995</v>
      </c>
      <c r="CO25">
        <v>15931.366910000001</v>
      </c>
      <c r="CP25">
        <v>13870.726360000004</v>
      </c>
      <c r="CQ25">
        <v>8176.4472000000005</v>
      </c>
      <c r="CR25">
        <v>12389.371810000001</v>
      </c>
      <c r="CS25">
        <v>5542.9663</v>
      </c>
      <c r="CT25">
        <v>3231.848</v>
      </c>
      <c r="CU25">
        <v>1108.1917000000001</v>
      </c>
      <c r="CV25">
        <v>3009.348</v>
      </c>
      <c r="CW25">
        <v>8629.4873999999982</v>
      </c>
      <c r="CX25">
        <v>4029.8312599999999</v>
      </c>
      <c r="CY25">
        <v>4986.5867099999996</v>
      </c>
      <c r="CZ25">
        <v>14963.0833</v>
      </c>
      <c r="DA25">
        <v>14928.403749999999</v>
      </c>
      <c r="DB25">
        <v>8430.6283100000001</v>
      </c>
      <c r="DC25">
        <v>8858.4373699999996</v>
      </c>
      <c r="DD25">
        <v>7334.1500000000005</v>
      </c>
      <c r="DE25">
        <v>5245.6647499999999</v>
      </c>
      <c r="DF25">
        <v>3591.6743099999999</v>
      </c>
      <c r="DG25">
        <v>4121.5532999999996</v>
      </c>
      <c r="DH25">
        <v>2125.24575</v>
      </c>
      <c r="DI25">
        <v>7043.3545099999992</v>
      </c>
      <c r="DJ25">
        <v>10622.314780000002</v>
      </c>
      <c r="DK25">
        <v>327.68399999999997</v>
      </c>
      <c r="DL25">
        <v>8485.705750000001</v>
      </c>
      <c r="DM25">
        <v>7223.8842500000001</v>
      </c>
      <c r="DN25">
        <v>7051.2224600000009</v>
      </c>
      <c r="DO25">
        <v>6836.2000000000007</v>
      </c>
      <c r="DP25">
        <v>10344.4004</v>
      </c>
      <c r="DQ25">
        <v>1164.9575600000001</v>
      </c>
      <c r="DR25">
        <v>5199.6660000000002</v>
      </c>
      <c r="DS25">
        <v>4734.4264499999999</v>
      </c>
      <c r="DT25">
        <v>4322.3442000000005</v>
      </c>
      <c r="DU25">
        <v>5936.4972599999992</v>
      </c>
      <c r="DV25">
        <v>3228.5198099999998</v>
      </c>
      <c r="DW25">
        <v>4844.5410999999986</v>
      </c>
      <c r="DX25">
        <v>4716.8718499999995</v>
      </c>
      <c r="DY25">
        <v>9538.2644999999993</v>
      </c>
      <c r="DZ25">
        <v>10982.357999999998</v>
      </c>
      <c r="EA25">
        <v>18722.198500000002</v>
      </c>
      <c r="EB25">
        <v>5839.1875</v>
      </c>
      <c r="EC25">
        <v>8833.7210099999993</v>
      </c>
      <c r="ED25">
        <v>4795.5600000000004</v>
      </c>
      <c r="EE25">
        <v>5252.87</v>
      </c>
      <c r="EF25">
        <v>3022.7</v>
      </c>
      <c r="EG25">
        <v>2443.96</v>
      </c>
      <c r="EH25">
        <v>7620.94</v>
      </c>
      <c r="EI25">
        <v>2464.04</v>
      </c>
      <c r="EJ25">
        <v>21813.71</v>
      </c>
      <c r="EK25">
        <v>11935.24</v>
      </c>
      <c r="EL25">
        <v>7152.09</v>
      </c>
      <c r="EM25">
        <v>4139.6499999999996</v>
      </c>
      <c r="EN25">
        <v>5289.88</v>
      </c>
      <c r="EO25">
        <v>4501.53</v>
      </c>
      <c r="EP25">
        <v>3169</v>
      </c>
      <c r="EQ25">
        <v>5247</v>
      </c>
      <c r="ER25">
        <v>8122</v>
      </c>
      <c r="ES25">
        <v>6350</v>
      </c>
      <c r="ET25">
        <v>5408</v>
      </c>
      <c r="EU25">
        <v>2630</v>
      </c>
      <c r="EV25">
        <v>4979</v>
      </c>
      <c r="EW25">
        <v>4611</v>
      </c>
      <c r="EX25">
        <v>25573</v>
      </c>
      <c r="EY25">
        <v>5160</v>
      </c>
      <c r="EZ25">
        <v>7270</v>
      </c>
      <c r="FA25">
        <v>1687</v>
      </c>
    </row>
    <row r="26" spans="2:157" x14ac:dyDescent="0.25">
      <c r="B26" s="123">
        <f t="shared" si="9"/>
        <v>42124</v>
      </c>
      <c r="C26" s="114">
        <v>8811.4660000000003</v>
      </c>
      <c r="D26" s="114" t="s">
        <v>207</v>
      </c>
      <c r="E26" s="114">
        <v>45489.819400000008</v>
      </c>
      <c r="F26" s="114">
        <v>10299.19613</v>
      </c>
      <c r="G26" s="114">
        <v>376340.38428</v>
      </c>
      <c r="H26" s="114">
        <v>10221.483799999998</v>
      </c>
      <c r="I26" s="114">
        <v>157295.12386999995</v>
      </c>
      <c r="J26" s="114">
        <v>9016.2241900000008</v>
      </c>
      <c r="K26" s="114">
        <v>15574.86832</v>
      </c>
      <c r="L26" s="114">
        <v>24047.630859999997</v>
      </c>
      <c r="M26" s="114">
        <v>18417.117699999999</v>
      </c>
      <c r="N26" s="114">
        <v>5647.0429999999997</v>
      </c>
      <c r="O26" s="114">
        <v>2228.6293000000001</v>
      </c>
      <c r="P26" s="114">
        <v>2504.5050000000006</v>
      </c>
      <c r="Q26" s="115" t="s">
        <v>168</v>
      </c>
      <c r="R26" s="114">
        <v>9153.1814999999988</v>
      </c>
      <c r="S26" s="114">
        <v>122377</v>
      </c>
      <c r="T26" s="114">
        <v>28006.102919999998</v>
      </c>
      <c r="U26" s="114">
        <v>65543.007119999995</v>
      </c>
      <c r="V26" s="114">
        <v>38578.324269999997</v>
      </c>
      <c r="W26" s="114">
        <v>13741.3549</v>
      </c>
      <c r="X26" s="114">
        <v>21813.421900000001</v>
      </c>
      <c r="Y26" s="114">
        <v>256782.32499999998</v>
      </c>
      <c r="Z26" s="114">
        <v>174425.5208</v>
      </c>
      <c r="AA26" s="114">
        <v>173665.40411999999</v>
      </c>
      <c r="AB26" s="114">
        <v>446922.18479999999</v>
      </c>
      <c r="AC26" s="114">
        <v>14905.448200000003</v>
      </c>
      <c r="AD26" s="114">
        <v>152166.42672000002</v>
      </c>
      <c r="AE26" s="114">
        <v>16126.471820000002</v>
      </c>
      <c r="AF26" s="91">
        <v>455.69492000000002</v>
      </c>
      <c r="AG26" s="180">
        <v>150</v>
      </c>
      <c r="AH26" s="185"/>
      <c r="AI26" s="72"/>
      <c r="AK26" s="203" t="str">
        <v>NPKNPHURCDI</v>
      </c>
      <c r="AL26">
        <v>1549</v>
      </c>
      <c r="AM26">
        <v>8820</v>
      </c>
      <c r="AN26">
        <v>13749</v>
      </c>
      <c r="AO26">
        <v>90194.108399999997</v>
      </c>
      <c r="AP26">
        <v>90746.534500000009</v>
      </c>
      <c r="AQ26">
        <v>85441.766599999988</v>
      </c>
      <c r="AR26">
        <v>153130.92029999997</v>
      </c>
      <c r="AS26">
        <v>96290.159899999999</v>
      </c>
      <c r="AT26">
        <v>44235.737600000008</v>
      </c>
      <c r="AU26">
        <v>56818.162799999998</v>
      </c>
      <c r="AV26">
        <v>6300</v>
      </c>
      <c r="AW26">
        <v>1760.4557</v>
      </c>
      <c r="AX26">
        <v>3150</v>
      </c>
      <c r="AY26">
        <v>6049.9013999999997</v>
      </c>
      <c r="AZ26">
        <v>7706.0382</v>
      </c>
      <c r="BA26">
        <v>72268.622399999993</v>
      </c>
      <c r="BB26">
        <v>42713.939299999998</v>
      </c>
      <c r="BC26">
        <v>26366.810799999999</v>
      </c>
      <c r="BD26">
        <v>42705.643399999994</v>
      </c>
      <c r="BE26">
        <v>10728.671400000001</v>
      </c>
      <c r="BF26">
        <v>19771.725199999997</v>
      </c>
      <c r="BG26">
        <v>21813.421900000001</v>
      </c>
      <c r="BH26">
        <v>4865.4493999999995</v>
      </c>
      <c r="BI26">
        <v>1890</v>
      </c>
      <c r="BJ26">
        <v>-4951</v>
      </c>
      <c r="BK26">
        <v>0</v>
      </c>
      <c r="BL26">
        <v>1492.6414</v>
      </c>
      <c r="BM26">
        <v>36079.729599999999</v>
      </c>
      <c r="BN26">
        <v>85296.159</v>
      </c>
      <c r="BO26">
        <v>34767.2376</v>
      </c>
      <c r="BP26">
        <v>31025.970799999999</v>
      </c>
      <c r="BQ26">
        <v>38262.682199999996</v>
      </c>
      <c r="BR26">
        <v>30922.016799999998</v>
      </c>
      <c r="BS26">
        <v>24416.296700000003</v>
      </c>
      <c r="BT26">
        <v>6404.8923999999997</v>
      </c>
      <c r="BU26">
        <v>366.44100000000003</v>
      </c>
      <c r="BV26">
        <v>3150</v>
      </c>
      <c r="BW26">
        <v>0</v>
      </c>
      <c r="BX26">
        <v>1896</v>
      </c>
      <c r="BY26">
        <v>56289.533199999991</v>
      </c>
      <c r="BZ26">
        <v>24102.346799999999</v>
      </c>
      <c r="CA26">
        <v>40869.0285</v>
      </c>
      <c r="CB26">
        <v>10412.907800000001</v>
      </c>
      <c r="CC26">
        <v>8977.5460000000003</v>
      </c>
      <c r="CD26">
        <v>40809.943400000004</v>
      </c>
      <c r="CE26">
        <v>16177.4794</v>
      </c>
      <c r="CF26">
        <v>2966.4259999999999</v>
      </c>
      <c r="CG26">
        <v>1516.8</v>
      </c>
      <c r="CH26">
        <v>3723.75</v>
      </c>
      <c r="CI26">
        <v>17.190000000000001</v>
      </c>
      <c r="CJ26">
        <v>0</v>
      </c>
      <c r="CK26">
        <v>42516.908200000005</v>
      </c>
      <c r="CL26">
        <v>65449.919999999998</v>
      </c>
      <c r="CM26">
        <v>52297.999999999993</v>
      </c>
      <c r="CN26">
        <v>47381.039999999994</v>
      </c>
      <c r="CO26">
        <v>43284.39</v>
      </c>
      <c r="CP26">
        <v>12608.4</v>
      </c>
      <c r="CQ26">
        <v>14163.682000000003</v>
      </c>
      <c r="CR26">
        <v>12671.600000000002</v>
      </c>
      <c r="CS26">
        <v>1516.8</v>
      </c>
      <c r="CT26">
        <v>6730.8</v>
      </c>
      <c r="CU26">
        <v>0</v>
      </c>
      <c r="CV26">
        <v>3779.6409999999996</v>
      </c>
      <c r="CW26">
        <v>36557.435799999999</v>
      </c>
      <c r="CX26">
        <v>46392.080999999998</v>
      </c>
      <c r="CY26">
        <v>39092.956400000003</v>
      </c>
      <c r="CZ26">
        <v>87750.570399999997</v>
      </c>
      <c r="DA26">
        <v>41332.800000000003</v>
      </c>
      <c r="DB26">
        <v>39905.096400000002</v>
      </c>
      <c r="DC26">
        <v>21224.082000000002</v>
      </c>
      <c r="DD26">
        <v>8621.4009999999998</v>
      </c>
      <c r="DE26">
        <v>8974.4</v>
      </c>
      <c r="DF26">
        <v>208.626</v>
      </c>
      <c r="DG26">
        <v>0</v>
      </c>
      <c r="DH26">
        <v>1327.2</v>
      </c>
      <c r="DI26">
        <v>16387.5831</v>
      </c>
      <c r="DJ26">
        <v>48908.955399999999</v>
      </c>
      <c r="DK26">
        <v>29132.504400000002</v>
      </c>
      <c r="DL26">
        <v>71464.798400000014</v>
      </c>
      <c r="DM26">
        <v>52052.160000000003</v>
      </c>
      <c r="DN26">
        <v>32851.921999999999</v>
      </c>
      <c r="DO26">
        <v>40744.357400000001</v>
      </c>
      <c r="DP26">
        <v>11856.882</v>
      </c>
      <c r="DQ26">
        <v>5056</v>
      </c>
      <c r="DR26">
        <v>0</v>
      </c>
      <c r="DS26">
        <v>3324.96</v>
      </c>
      <c r="DT26">
        <v>31341.862699999998</v>
      </c>
      <c r="DU26">
        <v>16235.371200000003</v>
      </c>
      <c r="DV26">
        <v>41065.058400000002</v>
      </c>
      <c r="DW26">
        <v>68676.974300000002</v>
      </c>
      <c r="DX26">
        <v>12073.607600000001</v>
      </c>
      <c r="DY26">
        <v>67179.095199999996</v>
      </c>
      <c r="DZ26">
        <v>29540.523000000001</v>
      </c>
      <c r="EA26">
        <v>27453.462699999996</v>
      </c>
      <c r="EB26">
        <v>19257.106</v>
      </c>
      <c r="EC26">
        <v>11413.920000000002</v>
      </c>
      <c r="ED26">
        <v>17114.560000000001</v>
      </c>
      <c r="EE26">
        <v>8532.64</v>
      </c>
      <c r="EF26">
        <v>14719.65</v>
      </c>
      <c r="EG26">
        <v>17974.080000000002</v>
      </c>
      <c r="EH26">
        <v>58155.78</v>
      </c>
      <c r="EI26">
        <v>71390.289999999994</v>
      </c>
      <c r="EJ26">
        <v>76398.759999999995</v>
      </c>
      <c r="EK26">
        <v>11944.8</v>
      </c>
      <c r="EL26">
        <v>8633.65</v>
      </c>
      <c r="EM26">
        <v>1738.55</v>
      </c>
      <c r="EN26">
        <v>3639.38</v>
      </c>
      <c r="EO26">
        <v>0</v>
      </c>
      <c r="EP26">
        <v>0</v>
      </c>
      <c r="EQ26">
        <v>4001</v>
      </c>
      <c r="ER26">
        <v>6658</v>
      </c>
      <c r="ES26">
        <v>4805</v>
      </c>
      <c r="ET26">
        <v>7548</v>
      </c>
      <c r="EU26">
        <v>14543</v>
      </c>
      <c r="EV26">
        <v>10713</v>
      </c>
      <c r="EW26">
        <v>13723</v>
      </c>
      <c r="EX26">
        <v>442</v>
      </c>
      <c r="EY26">
        <v>2794</v>
      </c>
      <c r="EZ26">
        <v>379</v>
      </c>
      <c r="FA26">
        <v>3160</v>
      </c>
    </row>
    <row r="27" spans="2:157" x14ac:dyDescent="0.25">
      <c r="B27" s="123">
        <f t="shared" si="9"/>
        <v>42155</v>
      </c>
      <c r="C27" s="111">
        <v>443.63639999999998</v>
      </c>
      <c r="D27" s="111">
        <v>2797.6785</v>
      </c>
      <c r="E27" s="111">
        <v>115</v>
      </c>
      <c r="F27" s="111">
        <v>4569.6324500000001</v>
      </c>
      <c r="G27" s="111">
        <v>189040.99839999998</v>
      </c>
      <c r="H27" s="111">
        <v>4945.5351499999997</v>
      </c>
      <c r="I27" s="111">
        <v>96082.072849999997</v>
      </c>
      <c r="J27" s="111">
        <v>2814.6058500000004</v>
      </c>
      <c r="K27" s="111">
        <v>17781.701399999994</v>
      </c>
      <c r="L27" s="111">
        <v>7282.6770099999994</v>
      </c>
      <c r="M27" s="111">
        <v>25316.456200000001</v>
      </c>
      <c r="N27" s="111">
        <v>945.72940000000006</v>
      </c>
      <c r="O27" s="111">
        <v>8403.768759999999</v>
      </c>
      <c r="P27" s="111">
        <v>889.70500000000004</v>
      </c>
      <c r="Q27" s="112" t="s">
        <v>168</v>
      </c>
      <c r="R27" s="111">
        <v>1717.17661</v>
      </c>
      <c r="S27" s="111">
        <v>76674</v>
      </c>
      <c r="T27" s="111">
        <v>11315.016389999999</v>
      </c>
      <c r="U27" s="111">
        <v>27567.336579999996</v>
      </c>
      <c r="V27" s="111">
        <v>35415.225489999997</v>
      </c>
      <c r="W27" s="111">
        <v>13799.857</v>
      </c>
      <c r="X27" s="111">
        <v>4865.4493999999995</v>
      </c>
      <c r="Y27" s="111">
        <v>45649.769659999998</v>
      </c>
      <c r="Z27" s="111">
        <v>94056</v>
      </c>
      <c r="AA27" s="111">
        <v>81279.140740000003</v>
      </c>
      <c r="AB27" s="111">
        <v>195544</v>
      </c>
      <c r="AC27" s="111">
        <v>5124.9059199999992</v>
      </c>
      <c r="AD27" s="111">
        <v>38123.707450000002</v>
      </c>
      <c r="AE27" s="111">
        <v>14821.227909999996</v>
      </c>
      <c r="AF27" s="111">
        <v>289.81954000000002</v>
      </c>
      <c r="AG27" s="181">
        <v>0</v>
      </c>
      <c r="AH27" s="185"/>
      <c r="AI27" s="72"/>
      <c r="AK27" s="203" t="str">
        <v>NPKPHOS75</v>
      </c>
      <c r="AL27">
        <v>53517.5</v>
      </c>
      <c r="AM27">
        <v>163243.29999999999</v>
      </c>
      <c r="AN27">
        <v>79144</v>
      </c>
      <c r="AO27">
        <v>225649.47242000001</v>
      </c>
      <c r="AP27">
        <v>159391.35570000001</v>
      </c>
      <c r="AQ27">
        <v>170246.44255000001</v>
      </c>
      <c r="AR27">
        <v>238923.70079999999</v>
      </c>
      <c r="AS27">
        <v>146164.71979999999</v>
      </c>
      <c r="AT27">
        <v>121230.67199999999</v>
      </c>
      <c r="AU27">
        <v>126580.40618999999</v>
      </c>
      <c r="AV27">
        <v>27077.858120000001</v>
      </c>
      <c r="AW27">
        <v>53178</v>
      </c>
      <c r="AX27">
        <v>17340.305619999999</v>
      </c>
      <c r="AY27">
        <v>32129.175499999998</v>
      </c>
      <c r="AZ27">
        <v>44248.585099999997</v>
      </c>
      <c r="BA27">
        <v>133056.7205</v>
      </c>
      <c r="BB27">
        <v>105312.7922</v>
      </c>
      <c r="BC27">
        <v>128353.96679999999</v>
      </c>
      <c r="BD27">
        <v>83568.739199999996</v>
      </c>
      <c r="BE27">
        <v>240658.59226</v>
      </c>
      <c r="BF27">
        <v>80955.570500000002</v>
      </c>
      <c r="BG27">
        <v>256782.32499999998</v>
      </c>
      <c r="BH27">
        <v>45649.769659999998</v>
      </c>
      <c r="BI27">
        <v>64108.994399999996</v>
      </c>
      <c r="BJ27">
        <v>22641.412100000001</v>
      </c>
      <c r="BK27">
        <v>3293.3866399999997</v>
      </c>
      <c r="BL27">
        <v>33006.171300000002</v>
      </c>
      <c r="BM27">
        <v>102312.75109999999</v>
      </c>
      <c r="BN27">
        <v>125620.34393999999</v>
      </c>
      <c r="BO27">
        <v>91760</v>
      </c>
      <c r="BP27">
        <v>108509.4218</v>
      </c>
      <c r="BQ27">
        <v>89344.941800000001</v>
      </c>
      <c r="BR27">
        <v>121180.82625000001</v>
      </c>
      <c r="BS27">
        <v>96937</v>
      </c>
      <c r="BT27">
        <v>69862.809899999993</v>
      </c>
      <c r="BU27">
        <v>24120</v>
      </c>
      <c r="BV27">
        <v>24894.02922</v>
      </c>
      <c r="BW27">
        <v>17370</v>
      </c>
      <c r="BX27">
        <v>26665.931499999999</v>
      </c>
      <c r="BY27">
        <v>103108.74464</v>
      </c>
      <c r="BZ27">
        <v>129303.6586</v>
      </c>
      <c r="CA27">
        <v>81657.441800000001</v>
      </c>
      <c r="CB27">
        <v>74989.916800000006</v>
      </c>
      <c r="CC27">
        <v>67506.189039999997</v>
      </c>
      <c r="CD27">
        <v>56546.7048</v>
      </c>
      <c r="CE27">
        <v>35871.213759999999</v>
      </c>
      <c r="CF27">
        <v>51406.86724</v>
      </c>
      <c r="CG27">
        <v>45089.817499999997</v>
      </c>
      <c r="CH27">
        <v>26108.045140000002</v>
      </c>
      <c r="CI27">
        <v>8489</v>
      </c>
      <c r="CJ27">
        <v>23397.392240000001</v>
      </c>
      <c r="CK27">
        <v>107344.37819</v>
      </c>
      <c r="CL27">
        <v>112573.5</v>
      </c>
      <c r="CM27">
        <v>86784.5</v>
      </c>
      <c r="CN27">
        <v>87421.847999999998</v>
      </c>
      <c r="CO27">
        <v>87064.498500000002</v>
      </c>
      <c r="CP27">
        <v>70734.50056</v>
      </c>
      <c r="CQ27">
        <v>45809.0795</v>
      </c>
      <c r="CR27">
        <v>20514.157080000001</v>
      </c>
      <c r="CS27">
        <v>21508.9944</v>
      </c>
      <c r="CT27">
        <v>7744.6157600000006</v>
      </c>
      <c r="CU27">
        <v>6396</v>
      </c>
      <c r="CV27">
        <v>37465.165399999998</v>
      </c>
      <c r="CW27">
        <v>102094.8918</v>
      </c>
      <c r="CX27">
        <v>116267.57029999999</v>
      </c>
      <c r="CY27">
        <v>94555.504000000001</v>
      </c>
      <c r="CZ27">
        <v>141174.14848999999</v>
      </c>
      <c r="DA27">
        <v>61473.406999999999</v>
      </c>
      <c r="DB27">
        <v>60722.142739999996</v>
      </c>
      <c r="DC27">
        <v>45623</v>
      </c>
      <c r="DD27">
        <v>10436.371999999999</v>
      </c>
      <c r="DE27">
        <v>17614</v>
      </c>
      <c r="DF27">
        <v>6563.2692399999996</v>
      </c>
      <c r="DG27">
        <v>2186.5</v>
      </c>
      <c r="DH27">
        <v>23382.355459999999</v>
      </c>
      <c r="DI27">
        <v>84049.52304</v>
      </c>
      <c r="DJ27">
        <v>110966.9948</v>
      </c>
      <c r="DK27">
        <v>71079</v>
      </c>
      <c r="DL27">
        <v>121442.24619999999</v>
      </c>
      <c r="DM27">
        <v>67477.75</v>
      </c>
      <c r="DN27">
        <v>78530.210200000001</v>
      </c>
      <c r="DO27">
        <v>92772</v>
      </c>
      <c r="DP27">
        <v>41316.379840000001</v>
      </c>
      <c r="DQ27">
        <v>4193.7739600000004</v>
      </c>
      <c r="DR27">
        <v>11064.767240000001</v>
      </c>
      <c r="DS27">
        <v>7981.8790099999997</v>
      </c>
      <c r="DT27">
        <v>23907.493399999999</v>
      </c>
      <c r="DU27">
        <v>76068.458799999993</v>
      </c>
      <c r="DV27">
        <v>105126.8668</v>
      </c>
      <c r="DW27">
        <v>82968.344960000002</v>
      </c>
      <c r="DX27">
        <v>96935.806400000001</v>
      </c>
      <c r="DY27">
        <v>100197.9418</v>
      </c>
      <c r="DZ27">
        <v>65197.339540000001</v>
      </c>
      <c r="EA27">
        <v>49985.540459999997</v>
      </c>
      <c r="EB27">
        <v>36911.877</v>
      </c>
      <c r="EC27">
        <v>39541.1</v>
      </c>
      <c r="ED27">
        <v>30902.48</v>
      </c>
      <c r="EE27">
        <v>23971.63</v>
      </c>
      <c r="EF27">
        <v>42012.35</v>
      </c>
      <c r="EG27">
        <v>118772.08</v>
      </c>
      <c r="EH27">
        <v>112707.43</v>
      </c>
      <c r="EI27">
        <v>157733.69</v>
      </c>
      <c r="EJ27">
        <v>136240.73000000001</v>
      </c>
      <c r="EK27">
        <v>55727.9</v>
      </c>
      <c r="EL27">
        <v>106996.05</v>
      </c>
      <c r="EM27">
        <v>76520.95</v>
      </c>
      <c r="EN27">
        <v>98978.36</v>
      </c>
      <c r="EO27">
        <v>80445</v>
      </c>
      <c r="EP27">
        <v>12843</v>
      </c>
      <c r="EQ27">
        <v>69757</v>
      </c>
      <c r="ER27">
        <v>37369</v>
      </c>
      <c r="ES27">
        <v>107767</v>
      </c>
      <c r="ET27">
        <v>144566</v>
      </c>
      <c r="EU27">
        <v>80058</v>
      </c>
      <c r="EV27">
        <v>131259</v>
      </c>
      <c r="EW27">
        <v>61666</v>
      </c>
      <c r="EX27">
        <v>76024</v>
      </c>
      <c r="EY27">
        <v>85209</v>
      </c>
      <c r="EZ27">
        <v>60128</v>
      </c>
      <c r="FA27">
        <v>28570</v>
      </c>
    </row>
    <row r="28" spans="2:157" ht="15.75" thickBot="1" x14ac:dyDescent="0.3">
      <c r="B28" s="123">
        <f t="shared" si="9"/>
        <v>42185</v>
      </c>
      <c r="C28" s="108">
        <v>2058.2469000000001</v>
      </c>
      <c r="D28" s="108">
        <v>467.72269999999997</v>
      </c>
      <c r="E28" s="108">
        <v>54430.647200000007</v>
      </c>
      <c r="F28" s="108">
        <v>2640.7879600000001</v>
      </c>
      <c r="G28" s="108">
        <v>55288.028899999998</v>
      </c>
      <c r="H28" s="108">
        <v>6623.2277999999997</v>
      </c>
      <c r="I28" s="108">
        <v>69066.659599999999</v>
      </c>
      <c r="J28" s="108">
        <v>4305.0510000000004</v>
      </c>
      <c r="K28" s="108">
        <v>14431.3164</v>
      </c>
      <c r="L28" s="108">
        <v>11918.838229999998</v>
      </c>
      <c r="M28" s="108">
        <v>38718.247500000005</v>
      </c>
      <c r="N28" s="108">
        <v>269.79999999999973</v>
      </c>
      <c r="O28" s="108">
        <v>16450.0013</v>
      </c>
      <c r="P28" s="108">
        <v>387.20074999999997</v>
      </c>
      <c r="Q28" s="109" t="s">
        <v>168</v>
      </c>
      <c r="R28" s="108">
        <v>4825.780960000001</v>
      </c>
      <c r="S28" s="108">
        <v>22625</v>
      </c>
      <c r="T28" s="108">
        <v>14990.095899999998</v>
      </c>
      <c r="U28" s="108">
        <v>25548.997800000001</v>
      </c>
      <c r="V28" s="108">
        <v>9990.8266199999998</v>
      </c>
      <c r="W28" s="108">
        <v>5719.10185</v>
      </c>
      <c r="X28" s="108">
        <v>1890</v>
      </c>
      <c r="Y28" s="108">
        <v>64108.994399999996</v>
      </c>
      <c r="Z28" s="108">
        <v>30015</v>
      </c>
      <c r="AA28" s="108">
        <v>5481.5555999999997</v>
      </c>
      <c r="AB28" s="108">
        <v>49837</v>
      </c>
      <c r="AC28" s="108">
        <v>-6228.4741999999933</v>
      </c>
      <c r="AD28" s="108">
        <v>43036.433099999995</v>
      </c>
      <c r="AE28" s="108">
        <v>3805.4954599999996</v>
      </c>
      <c r="AF28" s="108">
        <v>181.63060000000002</v>
      </c>
      <c r="AG28" s="182">
        <v>0</v>
      </c>
      <c r="AH28" s="185"/>
      <c r="AI28" s="72"/>
      <c r="AK28" s="203" t="str">
        <v>NPKKCL62</v>
      </c>
      <c r="AL28">
        <v>9950</v>
      </c>
      <c r="AM28">
        <v>15558</v>
      </c>
      <c r="AN28">
        <v>47207</v>
      </c>
      <c r="AO28">
        <v>199211</v>
      </c>
      <c r="AP28">
        <v>244445.9192</v>
      </c>
      <c r="AQ28">
        <v>213673.0747</v>
      </c>
      <c r="AR28">
        <v>189651.9914</v>
      </c>
      <c r="AS28">
        <v>169524.8026</v>
      </c>
      <c r="AT28">
        <v>149390</v>
      </c>
      <c r="AU28">
        <v>199607.31969999999</v>
      </c>
      <c r="AV28">
        <v>115593.677</v>
      </c>
      <c r="AW28">
        <v>30000</v>
      </c>
      <c r="AX28">
        <v>26.3154</v>
      </c>
      <c r="AY28">
        <v>25432.025399999999</v>
      </c>
      <c r="AZ28">
        <v>49949.667600000001</v>
      </c>
      <c r="BA28">
        <v>180183.09299999999</v>
      </c>
      <c r="BB28">
        <v>134980</v>
      </c>
      <c r="BC28">
        <v>176360.1795</v>
      </c>
      <c r="BD28">
        <v>132743.76032</v>
      </c>
      <c r="BE28">
        <v>111531.73011</v>
      </c>
      <c r="BF28">
        <v>140126.8554</v>
      </c>
      <c r="BG28">
        <v>174425.5208</v>
      </c>
      <c r="BH28">
        <v>94056</v>
      </c>
      <c r="BI28">
        <v>30015</v>
      </c>
      <c r="BJ28">
        <v>75.791960000000003</v>
      </c>
      <c r="BK28">
        <v>4990</v>
      </c>
      <c r="BL28">
        <v>74930.071309999999</v>
      </c>
      <c r="BM28">
        <v>170297.2286</v>
      </c>
      <c r="BN28">
        <v>200223.13735999999</v>
      </c>
      <c r="BO28">
        <v>190005</v>
      </c>
      <c r="BP28">
        <v>115111.53020000001</v>
      </c>
      <c r="BQ28">
        <v>157223.10384</v>
      </c>
      <c r="BR28">
        <v>155374.084</v>
      </c>
      <c r="BS28">
        <v>140015</v>
      </c>
      <c r="BT28">
        <v>89995</v>
      </c>
      <c r="BU28">
        <v>10000</v>
      </c>
      <c r="BV28">
        <v>69.888000000000005</v>
      </c>
      <c r="BW28">
        <v>9.8879999999999999</v>
      </c>
      <c r="BX28">
        <v>30144.90236</v>
      </c>
      <c r="BY28">
        <v>145172.47966000001</v>
      </c>
      <c r="BZ28">
        <v>190083.93901</v>
      </c>
      <c r="CA28">
        <v>128740.47966</v>
      </c>
      <c r="CB28">
        <v>130187.94305999999</v>
      </c>
      <c r="CC28">
        <v>115068</v>
      </c>
      <c r="CD28">
        <v>100251.09752</v>
      </c>
      <c r="CE28">
        <v>100167.217</v>
      </c>
      <c r="CF28">
        <v>59995</v>
      </c>
      <c r="CG28">
        <v>10146.78376</v>
      </c>
      <c r="CH28">
        <v>0</v>
      </c>
      <c r="CI28">
        <v>0</v>
      </c>
      <c r="CJ28">
        <v>43916</v>
      </c>
      <c r="CK28">
        <v>106804</v>
      </c>
      <c r="CL28">
        <v>169332</v>
      </c>
      <c r="CM28">
        <v>182868</v>
      </c>
      <c r="CN28">
        <v>76568</v>
      </c>
      <c r="CO28">
        <v>142047.04876000001</v>
      </c>
      <c r="CP28">
        <v>90891.479659999997</v>
      </c>
      <c r="CQ28">
        <v>136984</v>
      </c>
      <c r="CR28">
        <v>70782.479659999997</v>
      </c>
      <c r="CS28">
        <v>0</v>
      </c>
      <c r="CT28">
        <v>0</v>
      </c>
      <c r="CU28">
        <v>0</v>
      </c>
      <c r="CV28">
        <v>50000</v>
      </c>
      <c r="CW28">
        <v>81029.463400000008</v>
      </c>
      <c r="CX28">
        <v>154430.47966000001</v>
      </c>
      <c r="CY28">
        <v>103503.47966</v>
      </c>
      <c r="CZ28">
        <v>143157.91519999999</v>
      </c>
      <c r="DA28">
        <v>104699.776</v>
      </c>
      <c r="DB28">
        <v>89587.479659999997</v>
      </c>
      <c r="DC28">
        <v>100199.95931999999</v>
      </c>
      <c r="DD28">
        <v>74276.447100000005</v>
      </c>
      <c r="DE28">
        <v>0</v>
      </c>
      <c r="DF28">
        <v>10072.479660000001</v>
      </c>
      <c r="DG28">
        <v>10019.982</v>
      </c>
      <c r="DH28">
        <v>23850.029340000001</v>
      </c>
      <c r="DI28">
        <v>98639.479659999997</v>
      </c>
      <c r="DJ28">
        <v>151492</v>
      </c>
      <c r="DK28">
        <v>104993.0196</v>
      </c>
      <c r="DL28">
        <v>150000</v>
      </c>
      <c r="DM28">
        <v>115010</v>
      </c>
      <c r="DN28">
        <v>118397.47966</v>
      </c>
      <c r="DO28">
        <v>129785</v>
      </c>
      <c r="DP28">
        <v>80159.154899999994</v>
      </c>
      <c r="DQ28">
        <v>10162.60766</v>
      </c>
      <c r="DR28">
        <v>7.4909999999999997</v>
      </c>
      <c r="DS28">
        <v>9.3637499999999996</v>
      </c>
      <c r="DT28">
        <v>19445</v>
      </c>
      <c r="DU28">
        <v>96794.503660000002</v>
      </c>
      <c r="DV28">
        <v>129890.77616000001</v>
      </c>
      <c r="DW28">
        <v>135005</v>
      </c>
      <c r="DX28">
        <v>135005</v>
      </c>
      <c r="DY28">
        <v>119949.49460000001</v>
      </c>
      <c r="DZ28">
        <v>115010.61825</v>
      </c>
      <c r="EA28">
        <v>115001.44620000001</v>
      </c>
      <c r="EB28">
        <v>70838.727500000008</v>
      </c>
      <c r="EC28">
        <v>20112.461660000001</v>
      </c>
      <c r="ED28">
        <v>10030.6</v>
      </c>
      <c r="EE28">
        <v>13.29</v>
      </c>
      <c r="EF28">
        <v>17408.29</v>
      </c>
      <c r="EG28">
        <v>69833.289999999994</v>
      </c>
      <c r="EH28">
        <v>115084.75</v>
      </c>
      <c r="EI28">
        <v>130010</v>
      </c>
      <c r="EJ28">
        <v>104833.29</v>
      </c>
      <c r="EK28">
        <v>100003.29</v>
      </c>
      <c r="EL28">
        <v>114897.47</v>
      </c>
      <c r="EM28">
        <v>104998.29</v>
      </c>
      <c r="EN28">
        <v>70008.289999999994</v>
      </c>
      <c r="EO28">
        <v>10000</v>
      </c>
      <c r="EP28">
        <v>9998</v>
      </c>
      <c r="EQ28">
        <v>106</v>
      </c>
      <c r="ER28">
        <v>25064</v>
      </c>
      <c r="ES28">
        <v>60000</v>
      </c>
      <c r="ET28">
        <v>125010</v>
      </c>
      <c r="EU28">
        <v>125002</v>
      </c>
      <c r="EV28">
        <v>95010</v>
      </c>
      <c r="EW28">
        <v>69995</v>
      </c>
      <c r="EX28">
        <v>80003</v>
      </c>
      <c r="EY28">
        <v>115010</v>
      </c>
      <c r="EZ28">
        <v>100005</v>
      </c>
      <c r="FA28">
        <v>0</v>
      </c>
    </row>
    <row r="29" spans="2:157" x14ac:dyDescent="0.25">
      <c r="B29" s="123">
        <f t="shared" si="9"/>
        <v>42216</v>
      </c>
      <c r="C29" s="111">
        <v>879.33609999999999</v>
      </c>
      <c r="D29" s="111">
        <v>2395.2209000000007</v>
      </c>
      <c r="E29" s="111">
        <v>48740.30279999999</v>
      </c>
      <c r="F29" s="111">
        <v>4600.0756099999999</v>
      </c>
      <c r="G29" s="111">
        <v>19165.729429999999</v>
      </c>
      <c r="H29" s="111">
        <v>6730.6342000000013</v>
      </c>
      <c r="I29" s="111">
        <v>87446.86348</v>
      </c>
      <c r="J29" s="111">
        <v>2255.6361499999998</v>
      </c>
      <c r="K29" s="111">
        <v>7794.2575000000006</v>
      </c>
      <c r="L29" s="111">
        <v>11555.32186</v>
      </c>
      <c r="M29" s="111">
        <v>16843.540199999999</v>
      </c>
      <c r="N29" s="111">
        <v>6701.6545999999998</v>
      </c>
      <c r="O29" s="111">
        <v>8809.264360000001</v>
      </c>
      <c r="P29" s="111">
        <v>4759.3245000000006</v>
      </c>
      <c r="Q29" s="112" t="s">
        <v>168</v>
      </c>
      <c r="R29" s="111">
        <v>2974.2430199999999</v>
      </c>
      <c r="S29" s="111">
        <v>6238</v>
      </c>
      <c r="T29" s="111">
        <v>14499.525510000001</v>
      </c>
      <c r="U29" s="111">
        <v>35767.892069999994</v>
      </c>
      <c r="V29" s="111">
        <v>12165.193679999998</v>
      </c>
      <c r="W29" s="111">
        <v>16658.696799999998</v>
      </c>
      <c r="X29" s="111">
        <v>-4951</v>
      </c>
      <c r="Y29" s="111">
        <v>22641.412100000001</v>
      </c>
      <c r="Z29" s="111">
        <v>75.791960000000003</v>
      </c>
      <c r="AA29" s="111">
        <v>711.1979</v>
      </c>
      <c r="AB29" s="111">
        <v>25235.715</v>
      </c>
      <c r="AC29" s="111">
        <v>12420.44175</v>
      </c>
      <c r="AD29" s="111">
        <v>36109.511280000006</v>
      </c>
      <c r="AE29" s="111">
        <v>5431.30303</v>
      </c>
      <c r="AF29" s="91">
        <v>12.768849999999929</v>
      </c>
      <c r="AG29" s="180">
        <v>0</v>
      </c>
      <c r="AH29" s="185"/>
      <c r="AI29" s="72"/>
      <c r="AK29" s="203" t="str">
        <v>NPKKNO3</v>
      </c>
      <c r="AL29">
        <v>157</v>
      </c>
      <c r="AM29">
        <v>35774</v>
      </c>
      <c r="AN29">
        <v>50532</v>
      </c>
      <c r="AO29">
        <v>211755.86074999999</v>
      </c>
      <c r="AP29">
        <v>269839.69469999999</v>
      </c>
      <c r="AQ29">
        <v>215438.87299999999</v>
      </c>
      <c r="AR29">
        <v>260118.32459999999</v>
      </c>
      <c r="AS29">
        <v>182641.56359999999</v>
      </c>
      <c r="AT29">
        <v>138561.117</v>
      </c>
      <c r="AU29">
        <v>158663.91620000001</v>
      </c>
      <c r="AV29">
        <v>139438.93309999999</v>
      </c>
      <c r="AW29">
        <v>205.03020000000001</v>
      </c>
      <c r="AX29">
        <v>3525.8020000000001</v>
      </c>
      <c r="AY29">
        <v>58103.736600000004</v>
      </c>
      <c r="AZ29">
        <v>14704.623</v>
      </c>
      <c r="BA29">
        <v>177642.86916</v>
      </c>
      <c r="BB29">
        <v>162596.427</v>
      </c>
      <c r="BC29">
        <v>160058.69358999998</v>
      </c>
      <c r="BD29">
        <v>151767.87166</v>
      </c>
      <c r="BE29">
        <v>117689.50623</v>
      </c>
      <c r="BF29">
        <v>130330.76876000001</v>
      </c>
      <c r="BG29">
        <v>173665.40411999999</v>
      </c>
      <c r="BH29">
        <v>81279.140740000003</v>
      </c>
      <c r="BI29">
        <v>5481.5555999999997</v>
      </c>
      <c r="BJ29">
        <v>711.1979</v>
      </c>
      <c r="BK29">
        <v>29155.721809999999</v>
      </c>
      <c r="BL29">
        <v>58268.591710000001</v>
      </c>
      <c r="BM29">
        <v>149143.92012</v>
      </c>
      <c r="BN29">
        <v>210781.7236</v>
      </c>
      <c r="BO29">
        <v>199158.48610000001</v>
      </c>
      <c r="BP29">
        <v>143736.83970000001</v>
      </c>
      <c r="BQ29">
        <v>163352.43327000001</v>
      </c>
      <c r="BR29">
        <v>183069.38046000001</v>
      </c>
      <c r="BS29">
        <v>164243.55531999998</v>
      </c>
      <c r="BT29">
        <v>197850.21506000002</v>
      </c>
      <c r="BU29">
        <v>70162.228709999996</v>
      </c>
      <c r="BV29">
        <v>50663.196759999999</v>
      </c>
      <c r="BW29">
        <v>15234.603500000001</v>
      </c>
      <c r="BX29">
        <v>96329.124100000001</v>
      </c>
      <c r="BY29">
        <v>218956.79485000001</v>
      </c>
      <c r="BZ29">
        <v>192210.75604000001</v>
      </c>
      <c r="CA29">
        <v>155004.00644</v>
      </c>
      <c r="CB29">
        <v>131413.07610999999</v>
      </c>
      <c r="CC29">
        <v>110261.2132</v>
      </c>
      <c r="CD29">
        <v>93407.717470000003</v>
      </c>
      <c r="CE29">
        <v>95635.927499999991</v>
      </c>
      <c r="CF29">
        <v>91928.977559999999</v>
      </c>
      <c r="CG29">
        <v>9966.5808399999987</v>
      </c>
      <c r="CH29">
        <v>1051.12806</v>
      </c>
      <c r="CI29">
        <v>3182.8539999999998</v>
      </c>
      <c r="CJ29">
        <v>82466.104500000001</v>
      </c>
      <c r="CK29">
        <v>172986.84899999999</v>
      </c>
      <c r="CL29">
        <v>230478</v>
      </c>
      <c r="CM29">
        <v>171414.66821999999</v>
      </c>
      <c r="CN29">
        <v>154572.27565999998</v>
      </c>
      <c r="CO29">
        <v>141777.81479</v>
      </c>
      <c r="CP29">
        <v>78656.542000000001</v>
      </c>
      <c r="CQ29">
        <v>126426.32206000001</v>
      </c>
      <c r="CR29">
        <v>106400.34455000001</v>
      </c>
      <c r="CS29">
        <v>8430.967560000001</v>
      </c>
      <c r="CT29">
        <v>5299.3339999999998</v>
      </c>
      <c r="CU29">
        <v>6479.7488599999997</v>
      </c>
      <c r="CV29">
        <v>92195.400529999999</v>
      </c>
      <c r="CW29">
        <v>209563.40906000001</v>
      </c>
      <c r="CX29">
        <v>248872.75099999999</v>
      </c>
      <c r="CY29">
        <v>169429.16279</v>
      </c>
      <c r="CZ29">
        <v>202861.46471999999</v>
      </c>
      <c r="DA29">
        <v>164759.66342</v>
      </c>
      <c r="DB29">
        <v>147671.28775000002</v>
      </c>
      <c r="DC29">
        <v>170352.73058999999</v>
      </c>
      <c r="DD29">
        <v>151325</v>
      </c>
      <c r="DE29">
        <v>1536.4215100000001</v>
      </c>
      <c r="DF29">
        <v>32156.947250000001</v>
      </c>
      <c r="DG29">
        <v>18602.24022</v>
      </c>
      <c r="DH29">
        <v>46351.89645</v>
      </c>
      <c r="DI29">
        <v>149815.71885</v>
      </c>
      <c r="DJ29">
        <v>235093.25302999999</v>
      </c>
      <c r="DK29">
        <v>192179.6925</v>
      </c>
      <c r="DL29">
        <v>246012.33630999998</v>
      </c>
      <c r="DM29">
        <v>246743.09422</v>
      </c>
      <c r="DN29">
        <v>197120.13449999999</v>
      </c>
      <c r="DO29">
        <v>198045.44200000001</v>
      </c>
      <c r="DP29">
        <v>136758.21831999999</v>
      </c>
      <c r="DQ29">
        <v>17002.209940000001</v>
      </c>
      <c r="DR29">
        <v>6420</v>
      </c>
      <c r="DS29">
        <v>12146.49703</v>
      </c>
      <c r="DT29">
        <v>34661.474900000001</v>
      </c>
      <c r="DU29">
        <v>216713.73733999999</v>
      </c>
      <c r="DV29">
        <v>239459.48214000001</v>
      </c>
      <c r="DW29">
        <v>242252.20355999999</v>
      </c>
      <c r="DX29">
        <v>247285.68161</v>
      </c>
      <c r="DY29">
        <v>209332.22756</v>
      </c>
      <c r="DZ29">
        <v>167833.95260000002</v>
      </c>
      <c r="EA29">
        <v>158339.54346000002</v>
      </c>
      <c r="EB29">
        <v>132802.77350000001</v>
      </c>
      <c r="EC29">
        <v>50598.033589999999</v>
      </c>
      <c r="ED29">
        <v>24027.4</v>
      </c>
      <c r="EE29">
        <v>2312.09</v>
      </c>
      <c r="EF29">
        <v>45826.52</v>
      </c>
      <c r="EG29">
        <v>159954.39000000001</v>
      </c>
      <c r="EH29">
        <v>303130.42</v>
      </c>
      <c r="EI29">
        <v>284822.69</v>
      </c>
      <c r="EJ29">
        <v>236719.37</v>
      </c>
      <c r="EK29">
        <v>222686.41</v>
      </c>
      <c r="EL29">
        <v>182743.37</v>
      </c>
      <c r="EM29">
        <v>132167.73000000001</v>
      </c>
      <c r="EN29">
        <v>150839.01</v>
      </c>
      <c r="EO29">
        <v>1007.43</v>
      </c>
      <c r="EP29">
        <v>10274</v>
      </c>
      <c r="EQ29">
        <v>12111</v>
      </c>
      <c r="ER29">
        <v>29048</v>
      </c>
      <c r="ES29">
        <v>142867</v>
      </c>
      <c r="ET29">
        <v>219996</v>
      </c>
      <c r="EU29">
        <v>212994</v>
      </c>
      <c r="EV29">
        <v>196070</v>
      </c>
      <c r="EW29">
        <v>202476</v>
      </c>
      <c r="EX29">
        <v>159670</v>
      </c>
      <c r="EY29">
        <v>98155</v>
      </c>
      <c r="EZ29">
        <v>68996</v>
      </c>
      <c r="FA29">
        <v>19757</v>
      </c>
    </row>
    <row r="30" spans="2:157" x14ac:dyDescent="0.25">
      <c r="B30" s="123">
        <f t="shared" si="9"/>
        <v>42247</v>
      </c>
      <c r="C30" s="111">
        <v>4200.4375</v>
      </c>
      <c r="D30" s="111">
        <v>587.18518000000006</v>
      </c>
      <c r="E30" s="111">
        <v>75</v>
      </c>
      <c r="F30" s="111">
        <v>1083.10698</v>
      </c>
      <c r="G30" s="111">
        <v>21093.327679999999</v>
      </c>
      <c r="H30" s="111">
        <v>7124.7807999999995</v>
      </c>
      <c r="I30" s="111">
        <v>47509.562079999989</v>
      </c>
      <c r="J30" s="111">
        <v>1597.7964400000001</v>
      </c>
      <c r="K30" s="111">
        <v>61113.7376</v>
      </c>
      <c r="L30" s="111">
        <v>5990.3895699999994</v>
      </c>
      <c r="M30" s="111">
        <v>14064.869500000001</v>
      </c>
      <c r="N30" s="111">
        <v>120.2985</v>
      </c>
      <c r="O30" s="111">
        <v>2658.7350500000002</v>
      </c>
      <c r="P30" s="111">
        <v>96.072499999999991</v>
      </c>
      <c r="Q30" s="112" t="s">
        <v>168</v>
      </c>
      <c r="R30" s="111">
        <v>1775.0438200000001</v>
      </c>
      <c r="S30" s="111">
        <v>3813</v>
      </c>
      <c r="T30" s="111">
        <v>22224.121760000002</v>
      </c>
      <c r="U30" s="111">
        <v>8801.373520000001</v>
      </c>
      <c r="V30" s="111">
        <v>18406.560300000001</v>
      </c>
      <c r="W30" s="111">
        <v>4740.1915500000005</v>
      </c>
      <c r="X30" s="111">
        <v>0</v>
      </c>
      <c r="Y30" s="111">
        <v>3293.3866399999997</v>
      </c>
      <c r="Z30" s="111">
        <v>4990</v>
      </c>
      <c r="AA30" s="111">
        <v>29155.721809999999</v>
      </c>
      <c r="AB30" s="111">
        <v>12432.184799999999</v>
      </c>
      <c r="AC30" s="111">
        <v>1944.75685</v>
      </c>
      <c r="AD30" s="111">
        <v>21644.000480000002</v>
      </c>
      <c r="AE30" s="111">
        <v>2187.1886600000003</v>
      </c>
      <c r="AF30" s="111">
        <v>323.17361</v>
      </c>
      <c r="AG30" s="181">
        <v>15</v>
      </c>
      <c r="AH30" s="185"/>
      <c r="AI30" s="72"/>
      <c r="AK30" s="203" t="str">
        <v>NPKU32</v>
      </c>
      <c r="AL30">
        <v>37593</v>
      </c>
      <c r="AM30">
        <v>41107</v>
      </c>
      <c r="AN30">
        <v>87444</v>
      </c>
      <c r="AO30">
        <v>392396.68644000002</v>
      </c>
      <c r="AP30">
        <v>393754</v>
      </c>
      <c r="AQ30">
        <v>294890.30394000001</v>
      </c>
      <c r="AR30">
        <v>219008.30394000001</v>
      </c>
      <c r="AS30">
        <v>226647</v>
      </c>
      <c r="AT30">
        <v>362808</v>
      </c>
      <c r="AU30">
        <v>522302.84940000001</v>
      </c>
      <c r="AV30">
        <v>363394</v>
      </c>
      <c r="AW30">
        <v>74759</v>
      </c>
      <c r="AX30">
        <v>24768.096550000002</v>
      </c>
      <c r="AY30">
        <v>47310</v>
      </c>
      <c r="AZ30">
        <v>73087.184800000003</v>
      </c>
      <c r="BA30">
        <v>331440.5</v>
      </c>
      <c r="BB30">
        <v>245194</v>
      </c>
      <c r="BC30">
        <v>208160</v>
      </c>
      <c r="BD30">
        <v>133526.61479999998</v>
      </c>
      <c r="BE30">
        <v>118933</v>
      </c>
      <c r="BF30">
        <v>345732.3456</v>
      </c>
      <c r="BG30">
        <v>446922.18479999999</v>
      </c>
      <c r="BH30">
        <v>195544</v>
      </c>
      <c r="BI30">
        <v>49837</v>
      </c>
      <c r="BJ30">
        <v>25235.715</v>
      </c>
      <c r="BK30">
        <v>12432.184799999999</v>
      </c>
      <c r="BL30">
        <v>112444</v>
      </c>
      <c r="BM30">
        <v>272577.67004</v>
      </c>
      <c r="BN30">
        <v>285034</v>
      </c>
      <c r="BO30">
        <v>203134.18479999999</v>
      </c>
      <c r="BP30">
        <v>138508</v>
      </c>
      <c r="BQ30">
        <v>90738.164999999994</v>
      </c>
      <c r="BR30">
        <v>312731.76104999997</v>
      </c>
      <c r="BS30">
        <v>378361</v>
      </c>
      <c r="BT30">
        <v>180220.24015999999</v>
      </c>
      <c r="BU30">
        <v>28151.003700000001</v>
      </c>
      <c r="BV30">
        <v>18562.07936</v>
      </c>
      <c r="BW30">
        <v>16235</v>
      </c>
      <c r="BX30">
        <v>65126.079360000003</v>
      </c>
      <c r="BY30">
        <v>215476.64455999999</v>
      </c>
      <c r="BZ30">
        <v>283165</v>
      </c>
      <c r="CA30">
        <v>169915.79235999999</v>
      </c>
      <c r="CB30">
        <v>137617.5</v>
      </c>
      <c r="CC30">
        <v>139929.96455999999</v>
      </c>
      <c r="CD30">
        <v>210456</v>
      </c>
      <c r="CE30">
        <v>213242.22349999999</v>
      </c>
      <c r="CF30">
        <v>149761.14455999999</v>
      </c>
      <c r="CG30">
        <v>22696</v>
      </c>
      <c r="CH30">
        <v>14561.618060000001</v>
      </c>
      <c r="CI30">
        <v>22204</v>
      </c>
      <c r="CJ30">
        <v>35400.894560000001</v>
      </c>
      <c r="CK30">
        <v>177113.89455999999</v>
      </c>
      <c r="CL30">
        <v>224892.66099999999</v>
      </c>
      <c r="CM30">
        <v>197374</v>
      </c>
      <c r="CN30">
        <v>132080.30556000001</v>
      </c>
      <c r="CO30">
        <v>129293.75</v>
      </c>
      <c r="CP30">
        <v>207857.04149999999</v>
      </c>
      <c r="CQ30">
        <v>264533.59856000001</v>
      </c>
      <c r="CR30">
        <v>144763.09992000001</v>
      </c>
      <c r="CS30">
        <v>16640</v>
      </c>
      <c r="CT30">
        <v>23400.839909999999</v>
      </c>
      <c r="CU30">
        <v>63831.985000000001</v>
      </c>
      <c r="CV30">
        <v>44358.310799999999</v>
      </c>
      <c r="CW30">
        <v>163815</v>
      </c>
      <c r="CX30">
        <v>193388.89455999999</v>
      </c>
      <c r="CY30">
        <v>138910.41099999999</v>
      </c>
      <c r="CZ30">
        <v>141977.6636</v>
      </c>
      <c r="DA30">
        <v>143878.75</v>
      </c>
      <c r="DB30">
        <v>263048.30556000001</v>
      </c>
      <c r="DC30">
        <v>272334.75</v>
      </c>
      <c r="DD30">
        <v>109731.81080000001</v>
      </c>
      <c r="DE30">
        <v>17283</v>
      </c>
      <c r="DF30">
        <v>16277.305560000001</v>
      </c>
      <c r="DG30">
        <v>10162.411</v>
      </c>
      <c r="DH30">
        <v>52952.620609999998</v>
      </c>
      <c r="DI30">
        <v>156118.39455999999</v>
      </c>
      <c r="DJ30">
        <v>170702.5</v>
      </c>
      <c r="DK30">
        <v>119959.66099999999</v>
      </c>
      <c r="DL30">
        <v>136360.5</v>
      </c>
      <c r="DM30">
        <v>131916.82199999999</v>
      </c>
      <c r="DN30">
        <v>228496.18852</v>
      </c>
      <c r="DO30">
        <v>236378.22349999999</v>
      </c>
      <c r="DP30">
        <v>133262.11806000001</v>
      </c>
      <c r="DQ30">
        <v>18366</v>
      </c>
      <c r="DR30">
        <v>20715.716560000001</v>
      </c>
      <c r="DS30">
        <v>18570.71775</v>
      </c>
      <c r="DT30">
        <v>73630.316599999991</v>
      </c>
      <c r="DU30">
        <v>135271.61806000001</v>
      </c>
      <c r="DV30">
        <v>160372.72349999999</v>
      </c>
      <c r="DW30">
        <v>146398.4803</v>
      </c>
      <c r="DX30">
        <v>162366.61806000001</v>
      </c>
      <c r="DY30">
        <v>137586.80499999999</v>
      </c>
      <c r="DZ30">
        <v>225045.46805999998</v>
      </c>
      <c r="EA30">
        <v>249312.45309999998</v>
      </c>
      <c r="EB30">
        <v>153391.04149999999</v>
      </c>
      <c r="EC30">
        <v>38425.386500000001</v>
      </c>
      <c r="ED30">
        <v>18279.16</v>
      </c>
      <c r="EE30">
        <v>29353.25</v>
      </c>
      <c r="EF30">
        <v>51761</v>
      </c>
      <c r="EG30">
        <v>106285.72</v>
      </c>
      <c r="EH30">
        <v>167143.46</v>
      </c>
      <c r="EI30">
        <v>132147.54999999999</v>
      </c>
      <c r="EJ30">
        <v>105749</v>
      </c>
      <c r="EK30">
        <v>37040.910000000003</v>
      </c>
      <c r="EL30">
        <v>205899.23</v>
      </c>
      <c r="EM30">
        <v>246739.29</v>
      </c>
      <c r="EN30">
        <v>152803.5</v>
      </c>
      <c r="EO30">
        <v>37858.199999999997</v>
      </c>
      <c r="EP30">
        <v>12584</v>
      </c>
      <c r="EQ30">
        <v>9700</v>
      </c>
      <c r="ER30">
        <v>54170</v>
      </c>
      <c r="ES30">
        <v>98959</v>
      </c>
      <c r="ET30">
        <v>202613</v>
      </c>
      <c r="EU30">
        <v>159713</v>
      </c>
      <c r="EV30">
        <v>134625</v>
      </c>
      <c r="EW30">
        <v>134069</v>
      </c>
      <c r="EX30">
        <v>173759</v>
      </c>
      <c r="EY30">
        <v>193560</v>
      </c>
      <c r="EZ30">
        <v>342492</v>
      </c>
      <c r="FA30">
        <v>18649</v>
      </c>
    </row>
    <row r="31" spans="2:157" ht="15.75" thickBot="1" x14ac:dyDescent="0.3">
      <c r="B31" s="123">
        <f t="shared" si="9"/>
        <v>42277</v>
      </c>
      <c r="C31" s="108">
        <v>6430.5978999999998</v>
      </c>
      <c r="D31" s="108">
        <v>2787.9255000000003</v>
      </c>
      <c r="E31" s="108">
        <v>28.382400000000001</v>
      </c>
      <c r="F31" s="108">
        <v>2248.4661900000006</v>
      </c>
      <c r="G31" s="108">
        <v>116469.20939999999</v>
      </c>
      <c r="H31" s="108">
        <v>10016.2415</v>
      </c>
      <c r="I31" s="108">
        <v>80389.88413999998</v>
      </c>
      <c r="J31" s="108">
        <v>2930.4992499999998</v>
      </c>
      <c r="K31" s="108">
        <v>6868.8557800000008</v>
      </c>
      <c r="L31" s="108">
        <v>9971.3870400000014</v>
      </c>
      <c r="M31" s="108">
        <v>8055.7373999999991</v>
      </c>
      <c r="N31" s="108">
        <v>12039.258</v>
      </c>
      <c r="O31" s="108">
        <v>15484.73775</v>
      </c>
      <c r="P31" s="108">
        <v>408.78500000000003</v>
      </c>
      <c r="Q31" s="109" t="s">
        <v>168</v>
      </c>
      <c r="R31" s="108">
        <v>1161.0646599999998</v>
      </c>
      <c r="S31" s="108">
        <v>48675</v>
      </c>
      <c r="T31" s="108">
        <v>28942.290280000001</v>
      </c>
      <c r="U31" s="108">
        <v>24252.825780000003</v>
      </c>
      <c r="V31" s="108">
        <v>26506.278120000006</v>
      </c>
      <c r="W31" s="108">
        <v>3407.4308499999997</v>
      </c>
      <c r="X31" s="108">
        <v>1492.6414</v>
      </c>
      <c r="Y31" s="108">
        <v>33006.171300000002</v>
      </c>
      <c r="Z31" s="108">
        <v>74930.071309999999</v>
      </c>
      <c r="AA31" s="108">
        <v>58268.591710000001</v>
      </c>
      <c r="AB31" s="108">
        <v>112444</v>
      </c>
      <c r="AC31" s="108">
        <v>-8981.7614000000012</v>
      </c>
      <c r="AD31" s="108">
        <v>20181.34158</v>
      </c>
      <c r="AE31" s="108">
        <v>9441.8028099999992</v>
      </c>
      <c r="AF31" s="108">
        <v>118.06441000000001</v>
      </c>
      <c r="AG31" s="182">
        <v>47.7</v>
      </c>
      <c r="AH31" s="185"/>
      <c r="AI31" s="72"/>
      <c r="AK31" s="203" t="str">
        <v>NPKUREA</v>
      </c>
      <c r="AL31">
        <v>14146</v>
      </c>
      <c r="AM31">
        <v>5424</v>
      </c>
      <c r="AN31">
        <v>666</v>
      </c>
      <c r="AO31">
        <v>6466.8417600000002</v>
      </c>
      <c r="AP31">
        <v>5446.9238499999992</v>
      </c>
      <c r="AQ31">
        <v>3152.7746999999999</v>
      </c>
      <c r="AR31">
        <v>11414.670799999998</v>
      </c>
      <c r="AS31">
        <v>11850.041850000001</v>
      </c>
      <c r="AT31">
        <v>11235.411799999998</v>
      </c>
      <c r="AU31">
        <v>20524.032269999996</v>
      </c>
      <c r="AV31">
        <v>11055.301419999996</v>
      </c>
      <c r="AW31">
        <v>5180.978900000001</v>
      </c>
      <c r="AX31">
        <v>16235.960650000005</v>
      </c>
      <c r="AY31">
        <v>3819.2109999999993</v>
      </c>
      <c r="AZ31">
        <v>1144.7168999999999</v>
      </c>
      <c r="BA31">
        <v>2791.1669599999996</v>
      </c>
      <c r="BB31">
        <v>2274.3720199999998</v>
      </c>
      <c r="BC31">
        <v>2687.2395499999993</v>
      </c>
      <c r="BD31">
        <v>3583.923299999999</v>
      </c>
      <c r="BE31">
        <v>4469.9378500000003</v>
      </c>
      <c r="BF31">
        <v>13001.919299999998</v>
      </c>
      <c r="BG31">
        <v>14905.448200000003</v>
      </c>
      <c r="BH31">
        <v>5124.9059199999992</v>
      </c>
      <c r="BI31">
        <v>-6228.4741999999933</v>
      </c>
      <c r="BJ31">
        <v>12420.44175</v>
      </c>
      <c r="BK31">
        <v>1944.75685</v>
      </c>
      <c r="BL31">
        <v>-8981.7614000000012</v>
      </c>
      <c r="BM31">
        <v>4139.1185000000005</v>
      </c>
      <c r="BN31">
        <v>1002.5556</v>
      </c>
      <c r="BO31">
        <v>731.44345999999996</v>
      </c>
      <c r="BP31">
        <v>8555.4465999999993</v>
      </c>
      <c r="BQ31">
        <v>4817.3415599999998</v>
      </c>
      <c r="BR31">
        <v>20905.789450000004</v>
      </c>
      <c r="BS31">
        <v>2801.2492000000002</v>
      </c>
      <c r="BT31">
        <v>7707.5461999999989</v>
      </c>
      <c r="BU31">
        <v>11550.725900000003</v>
      </c>
      <c r="BV31">
        <v>17271.187050000004</v>
      </c>
      <c r="BW31">
        <v>599.98160000000007</v>
      </c>
      <c r="BX31">
        <v>528.36699999999996</v>
      </c>
      <c r="BY31">
        <v>2195.94292</v>
      </c>
      <c r="BZ31">
        <v>873.12434000000007</v>
      </c>
      <c r="CA31">
        <v>1307.7247400000001</v>
      </c>
      <c r="CB31">
        <v>12241.361990000001</v>
      </c>
      <c r="CC31">
        <v>907.42274999999995</v>
      </c>
      <c r="CD31">
        <v>8815.6507299999994</v>
      </c>
      <c r="CE31">
        <v>4613.0021000000006</v>
      </c>
      <c r="CF31">
        <v>15031.737100000002</v>
      </c>
      <c r="CG31">
        <v>8322.9577399999998</v>
      </c>
      <c r="CH31">
        <v>24335.611600000004</v>
      </c>
      <c r="CI31">
        <v>1852.3328000000001</v>
      </c>
      <c r="CJ31">
        <v>80.428449999999998</v>
      </c>
      <c r="CK31">
        <v>1246.3989000000001</v>
      </c>
      <c r="CL31">
        <v>1040.6840999999999</v>
      </c>
      <c r="CM31">
        <v>2733.8825000000002</v>
      </c>
      <c r="CN31">
        <v>4784.3590999999997</v>
      </c>
      <c r="CO31">
        <v>5280.9278400000003</v>
      </c>
      <c r="CP31">
        <v>5716.9115600000005</v>
      </c>
      <c r="CQ31">
        <v>9171.1072399999975</v>
      </c>
      <c r="CR31">
        <v>1100.34629</v>
      </c>
      <c r="CS31">
        <v>10440.412070000002</v>
      </c>
      <c r="CT31">
        <v>24913.60515000001</v>
      </c>
      <c r="CU31">
        <v>1018.9805</v>
      </c>
      <c r="CV31">
        <v>218.1275</v>
      </c>
      <c r="CW31">
        <v>877.98524999999995</v>
      </c>
      <c r="CX31">
        <v>4495.31844</v>
      </c>
      <c r="CY31">
        <v>2643.5391399999999</v>
      </c>
      <c r="CZ31">
        <v>10638.999250000001</v>
      </c>
      <c r="DA31">
        <v>5432.2616500000004</v>
      </c>
      <c r="DB31">
        <v>3902.6821099999997</v>
      </c>
      <c r="DC31">
        <v>8788.9030300000013</v>
      </c>
      <c r="DD31">
        <v>13217.1186</v>
      </c>
      <c r="DE31">
        <v>6676.19625</v>
      </c>
      <c r="DF31">
        <v>16834.757840000002</v>
      </c>
      <c r="DG31">
        <v>3408.7464</v>
      </c>
      <c r="DH31">
        <v>3266.9288500000002</v>
      </c>
      <c r="DI31">
        <v>3596.0286900000001</v>
      </c>
      <c r="DJ31">
        <v>3447.3564999999994</v>
      </c>
      <c r="DK31">
        <v>3808.4382500000002</v>
      </c>
      <c r="DL31">
        <v>16569.951950000006</v>
      </c>
      <c r="DM31">
        <v>2954.4109500000004</v>
      </c>
      <c r="DN31">
        <v>5668.7897399999993</v>
      </c>
      <c r="DO31">
        <v>610.51459999999997</v>
      </c>
      <c r="DP31">
        <v>10480.6265</v>
      </c>
      <c r="DQ31">
        <v>3555.73794</v>
      </c>
      <c r="DR31">
        <v>16626.536100000001</v>
      </c>
      <c r="DS31">
        <v>-15672.511830000001</v>
      </c>
      <c r="DT31">
        <v>-342.49420000000009</v>
      </c>
      <c r="DU31">
        <v>337.80279999999999</v>
      </c>
      <c r="DV31">
        <v>1168.8122000000001</v>
      </c>
      <c r="DW31">
        <v>-1506.6149999999998</v>
      </c>
      <c r="DX31">
        <v>4924.7371999999996</v>
      </c>
      <c r="DY31">
        <v>5858.1481899999999</v>
      </c>
      <c r="DZ31">
        <v>64426.891259999975</v>
      </c>
      <c r="EA31">
        <v>21222.668189999997</v>
      </c>
      <c r="EB31">
        <v>17710.076060000007</v>
      </c>
      <c r="EC31">
        <v>18537.960129999999</v>
      </c>
      <c r="ED31">
        <v>35845.040000000001</v>
      </c>
      <c r="EE31">
        <v>9654.2900000000009</v>
      </c>
      <c r="EF31">
        <v>3462.78</v>
      </c>
      <c r="EG31">
        <v>2274.6</v>
      </c>
      <c r="EH31">
        <v>3473.31</v>
      </c>
      <c r="EI31">
        <v>6123.23</v>
      </c>
      <c r="EJ31">
        <v>33404.53</v>
      </c>
      <c r="EK31">
        <v>73229.3</v>
      </c>
      <c r="EL31">
        <v>41296</v>
      </c>
      <c r="EM31">
        <v>21420.36</v>
      </c>
      <c r="EN31">
        <v>2321.77</v>
      </c>
      <c r="EO31">
        <v>20656.59</v>
      </c>
      <c r="EP31">
        <v>5965</v>
      </c>
      <c r="EQ31">
        <v>5762</v>
      </c>
      <c r="ER31">
        <v>2522</v>
      </c>
      <c r="ES31">
        <v>4793</v>
      </c>
      <c r="ET31">
        <v>20622</v>
      </c>
      <c r="EU31">
        <v>22958</v>
      </c>
      <c r="EV31">
        <v>21666</v>
      </c>
      <c r="EW31">
        <v>7042</v>
      </c>
      <c r="EX31">
        <v>12344</v>
      </c>
      <c r="EY31">
        <v>12580</v>
      </c>
      <c r="EZ31">
        <v>24948</v>
      </c>
      <c r="FA31">
        <v>7164</v>
      </c>
    </row>
    <row r="32" spans="2:157" x14ac:dyDescent="0.25">
      <c r="B32" s="123">
        <f t="shared" si="9"/>
        <v>42308</v>
      </c>
      <c r="C32" s="114">
        <v>-3079.909200000001</v>
      </c>
      <c r="D32" s="114">
        <v>-1486.7393199999997</v>
      </c>
      <c r="E32" s="114">
        <v>61.7044</v>
      </c>
      <c r="F32" s="114">
        <v>3888.1289200000001</v>
      </c>
      <c r="G32" s="114">
        <v>485642.17180000001</v>
      </c>
      <c r="H32" s="114">
        <v>3812.8856000000001</v>
      </c>
      <c r="I32" s="114">
        <v>35481.96</v>
      </c>
      <c r="J32" s="114">
        <v>3785.8807999999999</v>
      </c>
      <c r="K32" s="114">
        <v>12421.734400000001</v>
      </c>
      <c r="L32" s="114">
        <v>6403.3728200000005</v>
      </c>
      <c r="M32" s="114">
        <v>24241.256800000003</v>
      </c>
      <c r="N32" s="114">
        <v>-5498.2394000000004</v>
      </c>
      <c r="O32" s="114">
        <v>2228.6293000000001</v>
      </c>
      <c r="P32" s="114">
        <v>559.46</v>
      </c>
      <c r="Q32" s="115" t="s">
        <v>168</v>
      </c>
      <c r="R32" s="114">
        <v>2961.3437599999997</v>
      </c>
      <c r="S32" s="114">
        <v>119280</v>
      </c>
      <c r="T32" s="114">
        <v>-15632.196550000001</v>
      </c>
      <c r="U32" s="114">
        <v>11059.097699999998</v>
      </c>
      <c r="V32" s="114">
        <v>4190.5451800000001</v>
      </c>
      <c r="W32" s="114">
        <v>7004.330939999998</v>
      </c>
      <c r="X32" s="114">
        <v>36079.729599999999</v>
      </c>
      <c r="Y32" s="114">
        <v>102312.75109999999</v>
      </c>
      <c r="Z32" s="114">
        <v>170297.2286</v>
      </c>
      <c r="AA32" s="114">
        <v>149143.92012</v>
      </c>
      <c r="AB32" s="114">
        <v>272577.67004</v>
      </c>
      <c r="AC32" s="114">
        <v>4139.1185000000005</v>
      </c>
      <c r="AD32" s="114">
        <v>8757.7242499999993</v>
      </c>
      <c r="AE32" s="114">
        <v>2699.5102200000006</v>
      </c>
      <c r="AF32" s="91">
        <v>348.53422</v>
      </c>
      <c r="AG32" s="180">
        <v>34.5</v>
      </c>
      <c r="AH32" s="185"/>
      <c r="AI32" s="72"/>
      <c r="AK32" s="203" t="str">
        <v>NO3ZN</v>
      </c>
      <c r="AL32">
        <v>43798</v>
      </c>
      <c r="AM32">
        <v>35629</v>
      </c>
      <c r="AN32">
        <v>4643</v>
      </c>
      <c r="AO32">
        <v>44911.920100000003</v>
      </c>
      <c r="AP32">
        <v>8292.4717999999993</v>
      </c>
      <c r="AQ32">
        <v>3800</v>
      </c>
      <c r="AR32">
        <v>8996.6254500000014</v>
      </c>
      <c r="AS32">
        <v>9804.1362000000008</v>
      </c>
      <c r="AT32">
        <v>100877.99520000002</v>
      </c>
      <c r="AU32">
        <v>69326.080000000002</v>
      </c>
      <c r="AV32">
        <v>115661.94701999999</v>
      </c>
      <c r="AW32">
        <v>38913.843249999998</v>
      </c>
      <c r="AX32">
        <v>75645.924949999986</v>
      </c>
      <c r="AY32">
        <v>33750.5389</v>
      </c>
      <c r="AZ32">
        <v>20007.871410000003</v>
      </c>
      <c r="BA32">
        <v>19782.911219999998</v>
      </c>
      <c r="BB32">
        <v>5919.8490000000002</v>
      </c>
      <c r="BC32">
        <v>3433.7744000000002</v>
      </c>
      <c r="BD32">
        <v>54139.640600000006</v>
      </c>
      <c r="BE32">
        <v>24024.325150000001</v>
      </c>
      <c r="BF32">
        <v>63377.895879999996</v>
      </c>
      <c r="BG32">
        <v>152166.42672000002</v>
      </c>
      <c r="BH32">
        <v>38123.707450000002</v>
      </c>
      <c r="BI32">
        <v>43036.433099999995</v>
      </c>
      <c r="BJ32">
        <v>36109.511280000006</v>
      </c>
      <c r="BK32">
        <v>21644.000480000002</v>
      </c>
      <c r="BL32">
        <v>20181.34158</v>
      </c>
      <c r="BM32">
        <v>8757.7242499999993</v>
      </c>
      <c r="BN32">
        <v>13874.682780000001</v>
      </c>
      <c r="BO32">
        <v>8954.3936200000007</v>
      </c>
      <c r="BP32">
        <v>5364.7798900000007</v>
      </c>
      <c r="BQ32">
        <v>16246.666930000003</v>
      </c>
      <c r="BR32">
        <v>83473.673679999978</v>
      </c>
      <c r="BS32">
        <v>41532.285459999999</v>
      </c>
      <c r="BT32">
        <v>77884.811020000008</v>
      </c>
      <c r="BU32">
        <v>92934.40317000002</v>
      </c>
      <c r="BV32">
        <v>27363.912280000004</v>
      </c>
      <c r="BW32">
        <v>22038.126300000004</v>
      </c>
      <c r="BX32">
        <v>28107.47133</v>
      </c>
      <c r="BY32">
        <v>15422.336550000002</v>
      </c>
      <c r="BZ32">
        <v>27756.346590000005</v>
      </c>
      <c r="CA32">
        <v>13258.07912</v>
      </c>
      <c r="CB32">
        <v>33832.773239999995</v>
      </c>
      <c r="CC32">
        <v>54491.507340000004</v>
      </c>
      <c r="CD32">
        <v>116744.64754999998</v>
      </c>
      <c r="CE32">
        <v>102633.37539999999</v>
      </c>
      <c r="CF32">
        <v>53829.695680000012</v>
      </c>
      <c r="CG32">
        <v>86100.850650000008</v>
      </c>
      <c r="CH32">
        <v>78920.691380000004</v>
      </c>
      <c r="CI32">
        <v>77586.886100000018</v>
      </c>
      <c r="CJ32">
        <v>8804.9499500000002</v>
      </c>
      <c r="CK32">
        <v>92136.046480000019</v>
      </c>
      <c r="CL32">
        <v>46441.429790000009</v>
      </c>
      <c r="CM32">
        <v>85726.218649999995</v>
      </c>
      <c r="CN32">
        <v>23430.289880000004</v>
      </c>
      <c r="CO32">
        <v>132681.32605000003</v>
      </c>
      <c r="CP32">
        <v>167617.75590000002</v>
      </c>
      <c r="CQ32">
        <v>164001.42403000002</v>
      </c>
      <c r="CR32">
        <v>71649.836660000001</v>
      </c>
      <c r="CS32">
        <v>66618.392219999994</v>
      </c>
      <c r="CT32">
        <v>115023.43040000001</v>
      </c>
      <c r="CU32">
        <v>75498.252660000013</v>
      </c>
      <c r="CV32">
        <v>83278.182550000012</v>
      </c>
      <c r="CW32">
        <v>99591.502920000014</v>
      </c>
      <c r="CX32">
        <v>48641.347080000014</v>
      </c>
      <c r="CY32">
        <v>20902.800000000003</v>
      </c>
      <c r="CZ32">
        <v>58367.276680000003</v>
      </c>
      <c r="DA32">
        <v>110851.80212000004</v>
      </c>
      <c r="DB32">
        <v>90074.943480000031</v>
      </c>
      <c r="DC32">
        <v>77129.19279999999</v>
      </c>
      <c r="DD32">
        <v>148354.83936999997</v>
      </c>
      <c r="DE32">
        <v>42378.037690000005</v>
      </c>
      <c r="DF32">
        <v>72447.790729999993</v>
      </c>
      <c r="DG32">
        <v>44733.988919999996</v>
      </c>
      <c r="DH32">
        <v>26882.575400000002</v>
      </c>
      <c r="DI32">
        <v>68056.486380000017</v>
      </c>
      <c r="DJ32">
        <v>10158.42866</v>
      </c>
      <c r="DK32">
        <v>21427.397199999999</v>
      </c>
      <c r="DL32">
        <v>30199.551100000001</v>
      </c>
      <c r="DM32">
        <v>67650.650250000006</v>
      </c>
      <c r="DN32">
        <v>112690.96156000003</v>
      </c>
      <c r="DO32">
        <v>61184.205800000003</v>
      </c>
      <c r="DP32">
        <v>79206.514170000009</v>
      </c>
      <c r="DQ32">
        <v>82366.186199999996</v>
      </c>
      <c r="DR32">
        <v>55486.162779999999</v>
      </c>
      <c r="DS32">
        <v>50077.57640000002</v>
      </c>
      <c r="DT32">
        <v>45268.927550000008</v>
      </c>
      <c r="DU32">
        <v>47162.866360000007</v>
      </c>
      <c r="DV32">
        <v>2649.0349999999999</v>
      </c>
      <c r="DW32">
        <v>25259.150900000001</v>
      </c>
      <c r="DX32">
        <v>23528.592779999999</v>
      </c>
      <c r="DY32">
        <v>39271.443299999999</v>
      </c>
      <c r="DZ32">
        <v>80173.150630000004</v>
      </c>
      <c r="EA32">
        <v>117115.64810000003</v>
      </c>
      <c r="EB32">
        <v>82644.856200000009</v>
      </c>
      <c r="EC32">
        <v>17889.024799999999</v>
      </c>
      <c r="ED32">
        <v>69873.02</v>
      </c>
      <c r="EE32">
        <v>29928.37</v>
      </c>
      <c r="EF32">
        <v>25422.53</v>
      </c>
      <c r="EG32">
        <v>30314.15</v>
      </c>
      <c r="EH32">
        <v>49842.9</v>
      </c>
      <c r="EI32">
        <v>1043</v>
      </c>
      <c r="EJ32">
        <v>20878.46</v>
      </c>
      <c r="EK32">
        <v>24828.720000000001</v>
      </c>
      <c r="EL32">
        <v>19032.810000000001</v>
      </c>
      <c r="EM32">
        <v>37442.97</v>
      </c>
      <c r="EN32">
        <v>37761.839999999997</v>
      </c>
      <c r="EO32">
        <v>12080.14</v>
      </c>
      <c r="EP32">
        <v>40973</v>
      </c>
      <c r="EQ32">
        <v>16778</v>
      </c>
      <c r="ER32">
        <v>8429</v>
      </c>
      <c r="ES32">
        <v>1534</v>
      </c>
      <c r="ET32">
        <v>3107</v>
      </c>
      <c r="EU32">
        <v>16023</v>
      </c>
      <c r="EV32">
        <v>3442</v>
      </c>
      <c r="EW32">
        <v>19883</v>
      </c>
      <c r="EX32">
        <v>43343</v>
      </c>
      <c r="EY32">
        <v>36171</v>
      </c>
      <c r="EZ32">
        <v>29212</v>
      </c>
      <c r="FA32">
        <v>25569</v>
      </c>
    </row>
    <row r="33" spans="2:157" x14ac:dyDescent="0.25">
      <c r="B33" s="123">
        <f t="shared" si="9"/>
        <v>42338</v>
      </c>
      <c r="C33" s="111">
        <v>516.86930000000007</v>
      </c>
      <c r="D33" s="111">
        <v>254.1755</v>
      </c>
      <c r="E33" s="111">
        <v>5</v>
      </c>
      <c r="F33" s="111">
        <v>3505.01523</v>
      </c>
      <c r="G33" s="111">
        <v>583082.93507999997</v>
      </c>
      <c r="H33" s="111">
        <v>8457.9821999999986</v>
      </c>
      <c r="I33" s="111">
        <v>40022.562069999993</v>
      </c>
      <c r="J33" s="111">
        <v>203.63264999999998</v>
      </c>
      <c r="K33" s="111">
        <v>7376.5615400000006</v>
      </c>
      <c r="L33" s="111">
        <v>1674.45705</v>
      </c>
      <c r="M33" s="111">
        <v>40737.866999999991</v>
      </c>
      <c r="N33" s="111">
        <v>64.039500000000004</v>
      </c>
      <c r="O33" s="111">
        <v>8403.768759999999</v>
      </c>
      <c r="P33" s="111">
        <v>280.11500000000001</v>
      </c>
      <c r="Q33" s="112" t="s">
        <v>168</v>
      </c>
      <c r="R33" s="111">
        <v>800.09522000000004</v>
      </c>
      <c r="S33" s="111">
        <v>178576</v>
      </c>
      <c r="T33" s="111">
        <v>4958.5235599999996</v>
      </c>
      <c r="U33" s="111">
        <v>12050.780060000001</v>
      </c>
      <c r="V33" s="111">
        <v>6012.8805300000004</v>
      </c>
      <c r="W33" s="111">
        <v>1830.1264000000001</v>
      </c>
      <c r="X33" s="111">
        <v>85296.159</v>
      </c>
      <c r="Y33" s="111">
        <v>125620.34393999999</v>
      </c>
      <c r="Z33" s="111">
        <v>200223.13735999999</v>
      </c>
      <c r="AA33" s="111">
        <v>210781.7236</v>
      </c>
      <c r="AB33" s="111">
        <v>285034</v>
      </c>
      <c r="AC33" s="111">
        <v>1002.5556</v>
      </c>
      <c r="AD33" s="111">
        <v>13874.682780000001</v>
      </c>
      <c r="AE33" s="111">
        <v>2249.0293399999996</v>
      </c>
      <c r="AF33" s="111">
        <v>63.750900000000009</v>
      </c>
      <c r="AG33" s="181">
        <v>150</v>
      </c>
      <c r="AH33" s="185"/>
      <c r="AI33" s="72"/>
      <c r="AK33" s="203" t="str">
        <v>SO4ZNSTD</v>
      </c>
      <c r="AL33">
        <v>3386</v>
      </c>
      <c r="AM33">
        <v>3281</v>
      </c>
      <c r="AN33">
        <v>4488</v>
      </c>
      <c r="AO33">
        <v>4545.9084000000003</v>
      </c>
      <c r="AP33">
        <v>2139.2683499999998</v>
      </c>
      <c r="AQ33">
        <v>4053.8231999999994</v>
      </c>
      <c r="AR33">
        <v>8488.0069000000021</v>
      </c>
      <c r="AS33">
        <v>15137.246250000002</v>
      </c>
      <c r="AT33">
        <v>22520.9794</v>
      </c>
      <c r="AU33">
        <v>17111.409000000003</v>
      </c>
      <c r="AV33">
        <v>8020.2447899999988</v>
      </c>
      <c r="AW33">
        <v>9619.6714499999998</v>
      </c>
      <c r="AX33">
        <v>1814.3930900000003</v>
      </c>
      <c r="AY33">
        <v>8843.4575800000002</v>
      </c>
      <c r="AZ33">
        <v>12348.540059999998</v>
      </c>
      <c r="BA33">
        <v>3578.4933200000009</v>
      </c>
      <c r="BB33">
        <v>861.36238000000003</v>
      </c>
      <c r="BC33">
        <v>952.86763999999994</v>
      </c>
      <c r="BD33">
        <v>4280.42202</v>
      </c>
      <c r="BE33">
        <v>23123.895189999999</v>
      </c>
      <c r="BF33">
        <v>22101.732900000003</v>
      </c>
      <c r="BG33">
        <v>16126.471820000002</v>
      </c>
      <c r="BH33">
        <v>14821.227909999996</v>
      </c>
      <c r="BI33">
        <v>3805.4954599999996</v>
      </c>
      <c r="BJ33">
        <v>5431.30303</v>
      </c>
      <c r="BK33">
        <v>2187.1886600000003</v>
      </c>
      <c r="BL33">
        <v>9441.8028099999992</v>
      </c>
      <c r="BM33">
        <v>2699.5102200000006</v>
      </c>
      <c r="BN33">
        <v>2249.0293399999996</v>
      </c>
      <c r="BO33">
        <v>824.53269999999998</v>
      </c>
      <c r="BP33">
        <v>2439.4021400000001</v>
      </c>
      <c r="BQ33">
        <v>20401.242829999999</v>
      </c>
      <c r="BR33">
        <v>15750.61519</v>
      </c>
      <c r="BS33">
        <v>28495.971940000007</v>
      </c>
      <c r="BT33">
        <v>9964.3528299999998</v>
      </c>
      <c r="BU33">
        <v>9892.3018000000011</v>
      </c>
      <c r="BV33">
        <v>5510.6819799999994</v>
      </c>
      <c r="BW33">
        <v>7575.1999999999989</v>
      </c>
      <c r="BX33">
        <v>2022.1505000000002</v>
      </c>
      <c r="BY33">
        <v>2430.5545999999999</v>
      </c>
      <c r="BZ33">
        <v>1769.8966200000002</v>
      </c>
      <c r="CA33">
        <v>1848.9817</v>
      </c>
      <c r="CB33">
        <v>17105.90036</v>
      </c>
      <c r="CC33">
        <v>12580.959930000001</v>
      </c>
      <c r="CD33">
        <v>16093.535550000001</v>
      </c>
      <c r="CE33">
        <v>10617.345309999999</v>
      </c>
      <c r="CF33">
        <v>6228.2476900000001</v>
      </c>
      <c r="CG33">
        <v>4832.9813099999992</v>
      </c>
      <c r="CH33">
        <v>5731.024199999998</v>
      </c>
      <c r="CI33">
        <v>30.241000000000003</v>
      </c>
      <c r="CJ33">
        <v>348.47230999999999</v>
      </c>
      <c r="CK33">
        <v>2233.9746199999995</v>
      </c>
      <c r="CL33">
        <v>358.93779999999998</v>
      </c>
      <c r="CM33">
        <v>6173.9646599999996</v>
      </c>
      <c r="CN33">
        <v>1145.28865</v>
      </c>
      <c r="CO33">
        <v>4480.133960000001</v>
      </c>
      <c r="CP33">
        <v>9733.2693100000015</v>
      </c>
      <c r="CQ33">
        <v>1372.4259</v>
      </c>
      <c r="CR33">
        <v>6514.4418800000003</v>
      </c>
      <c r="CS33">
        <v>4803.2858200000001</v>
      </c>
      <c r="CT33">
        <v>3098.3985500000003</v>
      </c>
      <c r="CU33">
        <v>1865.0622500000002</v>
      </c>
      <c r="CV33">
        <v>608.32175999999993</v>
      </c>
      <c r="CW33">
        <v>876.23590999999999</v>
      </c>
      <c r="CX33">
        <v>671.97146000000021</v>
      </c>
      <c r="CY33">
        <v>931.09550000000002</v>
      </c>
      <c r="CZ33">
        <v>15758.810900000002</v>
      </c>
      <c r="DA33">
        <v>7236.5612999999985</v>
      </c>
      <c r="DB33">
        <v>10318.52658</v>
      </c>
      <c r="DC33">
        <v>5213.6380999999992</v>
      </c>
      <c r="DD33">
        <v>2849.3272100000004</v>
      </c>
      <c r="DE33">
        <v>4694.3551599999992</v>
      </c>
      <c r="DF33">
        <v>1815.6026100000001</v>
      </c>
      <c r="DG33">
        <v>502.46195</v>
      </c>
      <c r="DH33">
        <v>224.12195000000003</v>
      </c>
      <c r="DI33">
        <v>788.23765000000003</v>
      </c>
      <c r="DJ33">
        <v>1156.1477399999999</v>
      </c>
      <c r="DK33">
        <v>1494.1629999999998</v>
      </c>
      <c r="DL33">
        <v>9518.8311599999979</v>
      </c>
      <c r="DM33">
        <v>11671.522010000001</v>
      </c>
      <c r="DN33">
        <v>13032.28649</v>
      </c>
      <c r="DO33">
        <v>3082.4530499999996</v>
      </c>
      <c r="DP33">
        <v>1162.8104699999999</v>
      </c>
      <c r="DQ33">
        <v>3959.5714699999999</v>
      </c>
      <c r="DR33">
        <v>2083.0332000000003</v>
      </c>
      <c r="DS33">
        <v>1891.2452000000001</v>
      </c>
      <c r="DT33">
        <v>-16869.287349999999</v>
      </c>
      <c r="DU33">
        <v>386.44485000000003</v>
      </c>
      <c r="DV33">
        <v>706.82066000000009</v>
      </c>
      <c r="DW33">
        <v>935.71255000000008</v>
      </c>
      <c r="DX33">
        <v>4533.2794500000009</v>
      </c>
      <c r="DY33">
        <v>13774.331109999997</v>
      </c>
      <c r="DZ33">
        <v>14668.366430000004</v>
      </c>
      <c r="EA33">
        <v>9190.4459500000012</v>
      </c>
      <c r="EB33">
        <v>8241.5773000000008</v>
      </c>
      <c r="EC33">
        <v>499.79946999999993</v>
      </c>
      <c r="ED33">
        <v>1049.82</v>
      </c>
      <c r="EE33">
        <v>89.93</v>
      </c>
      <c r="EF33">
        <v>947.38</v>
      </c>
      <c r="EG33">
        <v>754.14</v>
      </c>
      <c r="EH33">
        <v>659.62</v>
      </c>
      <c r="EI33">
        <v>675.01</v>
      </c>
      <c r="EJ33">
        <v>3090.05</v>
      </c>
      <c r="EK33">
        <v>13959.32</v>
      </c>
      <c r="EL33">
        <v>8784.2800000000007</v>
      </c>
      <c r="EM33">
        <v>3250.86</v>
      </c>
      <c r="EN33">
        <v>29084.87</v>
      </c>
      <c r="EO33">
        <v>2126.48</v>
      </c>
      <c r="EP33">
        <v>1599</v>
      </c>
      <c r="EQ33">
        <v>1117</v>
      </c>
      <c r="ER33">
        <v>2440</v>
      </c>
      <c r="ES33">
        <v>1289</v>
      </c>
      <c r="ET33">
        <v>1331</v>
      </c>
      <c r="EU33">
        <v>810</v>
      </c>
      <c r="EV33">
        <v>7200</v>
      </c>
      <c r="EW33">
        <v>8438</v>
      </c>
      <c r="EX33">
        <v>3908</v>
      </c>
      <c r="EY33">
        <v>6413</v>
      </c>
      <c r="EZ33">
        <v>1359</v>
      </c>
      <c r="FA33">
        <v>479</v>
      </c>
    </row>
    <row r="34" spans="2:157" ht="15.75" thickBot="1" x14ac:dyDescent="0.3">
      <c r="B34" s="123">
        <f t="shared" si="9"/>
        <v>42369</v>
      </c>
      <c r="C34" s="108">
        <v>84308.6783</v>
      </c>
      <c r="D34" s="108">
        <v>91.535699999999991</v>
      </c>
      <c r="E34" s="108">
        <v>10</v>
      </c>
      <c r="F34" s="108">
        <v>4415.1205599999994</v>
      </c>
      <c r="G34" s="108">
        <v>563193.47080000001</v>
      </c>
      <c r="H34" s="108">
        <v>7928.1654000000008</v>
      </c>
      <c r="I34" s="108">
        <v>36275.738799999999</v>
      </c>
      <c r="J34" s="108">
        <v>2738.5464400000001</v>
      </c>
      <c r="K34" s="108">
        <v>7169.3435799999997</v>
      </c>
      <c r="L34" s="108">
        <v>5629.5182600000007</v>
      </c>
      <c r="M34" s="108">
        <v>31109.462999999996</v>
      </c>
      <c r="N34" s="108">
        <v>64.039500000000004</v>
      </c>
      <c r="O34" s="108">
        <v>16450.0013</v>
      </c>
      <c r="P34" s="108">
        <v>464.61500000000001</v>
      </c>
      <c r="Q34" s="109" t="s">
        <v>168</v>
      </c>
      <c r="R34" s="108">
        <v>1110.4837600000001</v>
      </c>
      <c r="S34" s="108">
        <v>147591</v>
      </c>
      <c r="T34" s="108">
        <v>15177.90724</v>
      </c>
      <c r="U34" s="108">
        <v>12666.524379999999</v>
      </c>
      <c r="V34" s="108">
        <v>3587.0202100000001</v>
      </c>
      <c r="W34" s="108">
        <v>3265.4773</v>
      </c>
      <c r="X34" s="108">
        <v>34767.2376</v>
      </c>
      <c r="Y34" s="108">
        <v>91760</v>
      </c>
      <c r="Z34" s="108">
        <v>190005</v>
      </c>
      <c r="AA34" s="108">
        <v>199158.48610000001</v>
      </c>
      <c r="AB34" s="108">
        <v>203134.18479999999</v>
      </c>
      <c r="AC34" s="108">
        <v>731.44345999999996</v>
      </c>
      <c r="AD34" s="108">
        <v>8954.3936200000007</v>
      </c>
      <c r="AE34" s="108">
        <v>824.53269999999998</v>
      </c>
      <c r="AF34" s="108">
        <v>27.378100000000003</v>
      </c>
      <c r="AG34" s="182">
        <v>0</v>
      </c>
      <c r="AH34" s="185"/>
      <c r="AI34" s="72"/>
      <c r="AK34" s="203" t="str">
        <v>EDTAFEHE</v>
      </c>
      <c r="AL34">
        <v>547</v>
      </c>
      <c r="AM34">
        <v>495</v>
      </c>
      <c r="AN34">
        <v>1321.4</v>
      </c>
      <c r="AO34">
        <v>550.96439999999996</v>
      </c>
      <c r="AP34">
        <v>598.31769999999995</v>
      </c>
      <c r="AQ34">
        <v>436.70715000000001</v>
      </c>
      <c r="AR34">
        <v>1423.3697999999999</v>
      </c>
      <c r="AS34">
        <v>1492.7882999999999</v>
      </c>
      <c r="AT34">
        <v>1305.3505</v>
      </c>
      <c r="AU34">
        <v>1828.2103</v>
      </c>
      <c r="AV34">
        <v>618.42719999999997</v>
      </c>
      <c r="AW34">
        <v>234</v>
      </c>
      <c r="AX34">
        <v>218.78319999999999</v>
      </c>
      <c r="AY34">
        <v>255.01319999999998</v>
      </c>
      <c r="AZ34">
        <v>342.79480000000001</v>
      </c>
      <c r="BA34">
        <v>580.14245999999991</v>
      </c>
      <c r="BB34">
        <v>96.806600000000003</v>
      </c>
      <c r="BC34">
        <v>445.95918999999998</v>
      </c>
      <c r="BD34">
        <v>243.92726000000002</v>
      </c>
      <c r="BE34">
        <v>126.33387</v>
      </c>
      <c r="BF34">
        <v>-162.20984000000004</v>
      </c>
      <c r="BG34">
        <v>455.69492000000002</v>
      </c>
      <c r="BH34">
        <v>289.81954000000002</v>
      </c>
      <c r="BI34">
        <v>181.63060000000002</v>
      </c>
      <c r="BJ34">
        <v>12.768849999999929</v>
      </c>
      <c r="BK34">
        <v>323.17361</v>
      </c>
      <c r="BL34">
        <v>118.06441000000001</v>
      </c>
      <c r="BM34">
        <v>348.53422</v>
      </c>
      <c r="BN34">
        <v>63.750900000000009</v>
      </c>
      <c r="BO34">
        <v>27.378100000000003</v>
      </c>
      <c r="BP34">
        <v>42.187600000000003</v>
      </c>
      <c r="BQ34">
        <v>144.36966999999999</v>
      </c>
      <c r="BR34">
        <v>460.60866000000004</v>
      </c>
      <c r="BS34">
        <v>531.14182000000005</v>
      </c>
      <c r="BT34">
        <v>4300.67706</v>
      </c>
      <c r="BU34">
        <v>436.55916000000002</v>
      </c>
      <c r="BV34">
        <v>347.29826000000003</v>
      </c>
      <c r="BW34">
        <v>70.607900000000001</v>
      </c>
      <c r="BX34">
        <v>75.619599999999991</v>
      </c>
      <c r="BY34">
        <v>244.53117</v>
      </c>
      <c r="BZ34">
        <v>291.00051000000002</v>
      </c>
      <c r="CA34">
        <v>128.72705999999999</v>
      </c>
      <c r="CB34">
        <v>438.79232999999999</v>
      </c>
      <c r="CC34">
        <v>41.210599999999999</v>
      </c>
      <c r="CD34">
        <v>563.57220999999993</v>
      </c>
      <c r="CE34">
        <v>44.866800000000005</v>
      </c>
      <c r="CF34">
        <v>9134.6027599999998</v>
      </c>
      <c r="CG34">
        <v>7496.423310000001</v>
      </c>
      <c r="CH34">
        <v>4411.1232599999994</v>
      </c>
      <c r="CI34">
        <v>17.202000000000002</v>
      </c>
      <c r="CJ34">
        <v>12.675599999999999</v>
      </c>
      <c r="CK34">
        <v>34.744600000000005</v>
      </c>
      <c r="CL34">
        <v>200.78559999999999</v>
      </c>
      <c r="CM34">
        <v>284.72461999999996</v>
      </c>
      <c r="CN34">
        <v>835.20607999999993</v>
      </c>
      <c r="CO34">
        <v>6738.0530599999993</v>
      </c>
      <c r="CP34">
        <v>4754.2614999999996</v>
      </c>
      <c r="CQ34">
        <v>383.72025999999994</v>
      </c>
      <c r="CR34">
        <v>205.27137000000002</v>
      </c>
      <c r="CS34">
        <v>644.01135999999997</v>
      </c>
      <c r="CT34">
        <v>1145.9644000000001</v>
      </c>
      <c r="CU34">
        <v>417.14006000000001</v>
      </c>
      <c r="CV34">
        <v>56.153300000000002</v>
      </c>
      <c r="CW34">
        <v>186.68456</v>
      </c>
      <c r="CX34">
        <v>161.93170000000001</v>
      </c>
      <c r="CY34">
        <v>199.61011000000002</v>
      </c>
      <c r="CZ34">
        <v>1336.7693199999999</v>
      </c>
      <c r="DA34">
        <v>611.40656999999999</v>
      </c>
      <c r="DB34">
        <v>598.42796999999996</v>
      </c>
      <c r="DC34">
        <v>843.1270300000001</v>
      </c>
      <c r="DD34">
        <v>951.96440000000007</v>
      </c>
      <c r="DE34">
        <v>844.64471000000003</v>
      </c>
      <c r="DF34">
        <v>931.69075999999995</v>
      </c>
      <c r="DG34">
        <v>395.87711999999999</v>
      </c>
      <c r="DH34">
        <v>110.18184999999998</v>
      </c>
      <c r="DI34">
        <v>424.05006999999995</v>
      </c>
      <c r="DJ34">
        <v>418.52002999999996</v>
      </c>
      <c r="DK34">
        <v>13.5654</v>
      </c>
      <c r="DL34">
        <v>375.01041000000004</v>
      </c>
      <c r="DM34">
        <v>309.23106999999999</v>
      </c>
      <c r="DN34">
        <v>9740.5450199999977</v>
      </c>
      <c r="DO34">
        <v>941.88940000000002</v>
      </c>
      <c r="DP34">
        <v>680.39451999999994</v>
      </c>
      <c r="DQ34">
        <v>571.91485999999998</v>
      </c>
      <c r="DR34">
        <v>302.63890000000004</v>
      </c>
      <c r="DS34">
        <v>200.29093</v>
      </c>
      <c r="DT34">
        <v>434.71880999999996</v>
      </c>
      <c r="DU34">
        <v>550.89702999999997</v>
      </c>
      <c r="DV34">
        <v>303.28251999999998</v>
      </c>
      <c r="DW34">
        <v>516.46641999999997</v>
      </c>
      <c r="DX34">
        <v>548.25021000000004</v>
      </c>
      <c r="DY34">
        <v>18378.973909999997</v>
      </c>
      <c r="DZ34">
        <v>29029.163400000009</v>
      </c>
      <c r="EA34">
        <v>2668.0018299999997</v>
      </c>
      <c r="EB34">
        <v>5730.4439999999995</v>
      </c>
      <c r="EC34">
        <v>7313.0559099999991</v>
      </c>
      <c r="ED34">
        <v>7601.27</v>
      </c>
      <c r="EE34">
        <v>235.77</v>
      </c>
      <c r="EF34">
        <v>129.16999999999999</v>
      </c>
      <c r="EG34">
        <v>84.17</v>
      </c>
      <c r="EH34">
        <v>227.51</v>
      </c>
      <c r="EI34">
        <v>2447.2199999999998</v>
      </c>
      <c r="EJ34">
        <v>9189.41</v>
      </c>
      <c r="EK34">
        <v>3090.71</v>
      </c>
      <c r="EL34">
        <v>6160.65</v>
      </c>
      <c r="EM34">
        <v>4250.79</v>
      </c>
      <c r="EN34">
        <v>529.73</v>
      </c>
      <c r="EO34">
        <v>10086.299999999999</v>
      </c>
      <c r="EP34">
        <v>133</v>
      </c>
      <c r="EQ34">
        <v>110</v>
      </c>
      <c r="ER34">
        <v>104</v>
      </c>
      <c r="ES34">
        <v>1188</v>
      </c>
      <c r="ET34">
        <v>9034</v>
      </c>
      <c r="EU34">
        <v>14095</v>
      </c>
      <c r="EV34">
        <v>7889</v>
      </c>
      <c r="EW34">
        <v>537</v>
      </c>
      <c r="EX34">
        <v>827</v>
      </c>
      <c r="EY34">
        <v>685</v>
      </c>
      <c r="EZ34">
        <v>663</v>
      </c>
      <c r="FA34">
        <v>671</v>
      </c>
    </row>
    <row r="35" spans="2:157" x14ac:dyDescent="0.25">
      <c r="B35" s="123">
        <f t="shared" si="9"/>
        <v>42400</v>
      </c>
      <c r="C35" s="114">
        <v>232.47640000000001</v>
      </c>
      <c r="D35" s="114">
        <v>788.38925000000006</v>
      </c>
      <c r="E35" s="114">
        <v>657.596</v>
      </c>
      <c r="F35" s="114">
        <v>6115.3105999999998</v>
      </c>
      <c r="G35" s="114">
        <v>389748.43280000001</v>
      </c>
      <c r="H35" s="114">
        <v>3358.8181999999997</v>
      </c>
      <c r="I35" s="114">
        <v>46831.670299999998</v>
      </c>
      <c r="J35" s="114">
        <v>2491.2000299999995</v>
      </c>
      <c r="K35" s="114">
        <v>7561.3576799999992</v>
      </c>
      <c r="L35" s="114">
        <v>6445.7091400000008</v>
      </c>
      <c r="M35" s="114">
        <v>35799.754780000003</v>
      </c>
      <c r="N35" s="114">
        <v>0</v>
      </c>
      <c r="O35" s="114">
        <v>5513.8825000000006</v>
      </c>
      <c r="P35" s="114">
        <v>77.174999999999997</v>
      </c>
      <c r="Q35" s="115" t="s">
        <v>168</v>
      </c>
      <c r="R35" s="114">
        <v>2095.5860600000001</v>
      </c>
      <c r="S35" s="114">
        <v>123492</v>
      </c>
      <c r="T35" s="114">
        <v>9418.5285299999996</v>
      </c>
      <c r="U35" s="114">
        <v>7384.9369299999998</v>
      </c>
      <c r="V35" s="114">
        <v>4269.8420800000004</v>
      </c>
      <c r="W35" s="114">
        <v>8610.701500000001</v>
      </c>
      <c r="X35" s="114">
        <v>31025.970799999999</v>
      </c>
      <c r="Y35" s="114">
        <v>108509.4218</v>
      </c>
      <c r="Z35" s="114">
        <v>115111.53020000001</v>
      </c>
      <c r="AA35" s="114">
        <v>143736.83970000001</v>
      </c>
      <c r="AB35" s="114">
        <v>138508</v>
      </c>
      <c r="AC35" s="114">
        <v>8555.4465999999993</v>
      </c>
      <c r="AD35" s="114">
        <v>5364.7798900000007</v>
      </c>
      <c r="AE35" s="114">
        <v>2439.4021400000001</v>
      </c>
      <c r="AF35" s="91">
        <v>42.187600000000003</v>
      </c>
      <c r="AG35" s="180">
        <v>109.25</v>
      </c>
      <c r="AH35" s="185"/>
      <c r="AI35" s="72"/>
      <c r="AK35" s="203" t="str">
        <v>EDTAACID</v>
      </c>
      <c r="AL35">
        <v>0</v>
      </c>
      <c r="AM35">
        <v>31</v>
      </c>
      <c r="AN35">
        <v>119</v>
      </c>
      <c r="AO35">
        <v>31</v>
      </c>
      <c r="AP35">
        <v>109.18</v>
      </c>
      <c r="AQ35">
        <v>50.65</v>
      </c>
      <c r="AR35">
        <v>375.87</v>
      </c>
      <c r="AS35">
        <v>0</v>
      </c>
      <c r="AT35">
        <v>0</v>
      </c>
      <c r="AU35">
        <v>2298.3090000000002</v>
      </c>
      <c r="AV35">
        <v>0</v>
      </c>
      <c r="AW35">
        <v>0</v>
      </c>
      <c r="AX35">
        <v>0</v>
      </c>
      <c r="AY35">
        <v>219.374</v>
      </c>
      <c r="AZ35">
        <v>150</v>
      </c>
      <c r="BA35">
        <v>0</v>
      </c>
      <c r="BB35">
        <v>0</v>
      </c>
      <c r="BC35">
        <v>150</v>
      </c>
      <c r="BD35">
        <v>-200</v>
      </c>
      <c r="BE35">
        <v>300</v>
      </c>
      <c r="BF35">
        <v>2348.3325999999997</v>
      </c>
      <c r="BG35">
        <v>150</v>
      </c>
      <c r="BH35">
        <v>0</v>
      </c>
      <c r="BI35">
        <v>0</v>
      </c>
      <c r="BJ35">
        <v>0</v>
      </c>
      <c r="BK35">
        <v>15</v>
      </c>
      <c r="BL35">
        <v>47.7</v>
      </c>
      <c r="BM35">
        <v>34.5</v>
      </c>
      <c r="BN35">
        <v>150</v>
      </c>
      <c r="BO35">
        <v>0</v>
      </c>
      <c r="BP35">
        <v>109.25</v>
      </c>
      <c r="BQ35">
        <v>0</v>
      </c>
      <c r="BR35">
        <v>3340.7952</v>
      </c>
      <c r="BS35">
        <v>2462.1716000000001</v>
      </c>
      <c r="BT35">
        <v>1544.0436</v>
      </c>
      <c r="BU35">
        <v>150</v>
      </c>
      <c r="BV35">
        <v>225</v>
      </c>
      <c r="BW35">
        <v>0</v>
      </c>
      <c r="BX35">
        <v>60</v>
      </c>
      <c r="BY35">
        <v>150</v>
      </c>
      <c r="BZ35">
        <v>0</v>
      </c>
      <c r="CA35">
        <v>0</v>
      </c>
      <c r="CB35">
        <v>0</v>
      </c>
      <c r="CC35">
        <v>0</v>
      </c>
      <c r="CD35">
        <v>8780.8955999999998</v>
      </c>
      <c r="CE35">
        <v>0</v>
      </c>
      <c r="CF35">
        <v>1125</v>
      </c>
      <c r="CG35">
        <v>1992.5</v>
      </c>
      <c r="CH35">
        <v>300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968.5</v>
      </c>
      <c r="CP35">
        <v>1772.3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104.1</v>
      </c>
      <c r="DC35">
        <v>156</v>
      </c>
      <c r="DD35">
        <v>0</v>
      </c>
      <c r="DE35">
        <v>1703.19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1490.1</v>
      </c>
      <c r="DO35">
        <v>218.5</v>
      </c>
      <c r="DP35">
        <v>150</v>
      </c>
      <c r="DQ35">
        <v>150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374.90836000000002</v>
      </c>
      <c r="DX35">
        <v>3685</v>
      </c>
      <c r="DY35">
        <v>7441.6</v>
      </c>
      <c r="DZ35">
        <v>15553.65</v>
      </c>
      <c r="EA35">
        <v>5088.2334799999999</v>
      </c>
      <c r="EB35">
        <v>1673.35</v>
      </c>
      <c r="EC35">
        <v>2147.4780000000001</v>
      </c>
      <c r="ED35">
        <v>1491</v>
      </c>
      <c r="EE35">
        <v>0</v>
      </c>
      <c r="EF35">
        <v>0</v>
      </c>
      <c r="EG35">
        <v>150</v>
      </c>
      <c r="EH35">
        <v>17911</v>
      </c>
      <c r="EI35">
        <v>1041</v>
      </c>
      <c r="EJ35">
        <v>22201</v>
      </c>
      <c r="EK35">
        <v>647</v>
      </c>
      <c r="EL35">
        <v>2709</v>
      </c>
      <c r="EM35">
        <v>3855</v>
      </c>
      <c r="EN35">
        <v>0</v>
      </c>
      <c r="EO35">
        <v>1641</v>
      </c>
      <c r="EP35">
        <v>0</v>
      </c>
      <c r="EQ35">
        <v>0</v>
      </c>
      <c r="ER35">
        <v>0</v>
      </c>
      <c r="ES35">
        <v>2404</v>
      </c>
      <c r="ET35">
        <v>3537</v>
      </c>
      <c r="EU35">
        <v>2803</v>
      </c>
      <c r="EV35">
        <v>12</v>
      </c>
      <c r="EW35">
        <v>24</v>
      </c>
      <c r="EX35">
        <v>2677</v>
      </c>
      <c r="EY35">
        <v>0</v>
      </c>
      <c r="EZ35">
        <v>11716</v>
      </c>
      <c r="FA35">
        <v>0</v>
      </c>
    </row>
    <row r="36" spans="2:157" x14ac:dyDescent="0.25">
      <c r="B36" s="123">
        <f t="shared" si="9"/>
        <v>42429</v>
      </c>
      <c r="C36" s="111">
        <v>2460.1393499999999</v>
      </c>
      <c r="D36" s="111">
        <v>26808.286949999998</v>
      </c>
      <c r="E36" s="111">
        <v>281.2276</v>
      </c>
      <c r="F36" s="111">
        <v>13002.215780000004</v>
      </c>
      <c r="G36" s="111">
        <v>635320.23800000001</v>
      </c>
      <c r="H36" s="111">
        <v>14785.383699999997</v>
      </c>
      <c r="I36" s="111">
        <v>77502.321719999993</v>
      </c>
      <c r="J36" s="111">
        <v>10284.800790000005</v>
      </c>
      <c r="K36" s="111">
        <v>18435.266659999998</v>
      </c>
      <c r="L36" s="111">
        <v>7095.6514100000004</v>
      </c>
      <c r="M36" s="111">
        <v>2782.5034000000005</v>
      </c>
      <c r="N36" s="111">
        <v>1348.0395000000001</v>
      </c>
      <c r="O36" s="111">
        <v>2239.3368</v>
      </c>
      <c r="P36" s="111">
        <v>481.71500000000003</v>
      </c>
      <c r="Q36" s="112" t="s">
        <v>168</v>
      </c>
      <c r="R36" s="111">
        <v>3319.9382800000003</v>
      </c>
      <c r="S36" s="111">
        <v>155837.5</v>
      </c>
      <c r="T36" s="111">
        <v>50758.202109999991</v>
      </c>
      <c r="U36" s="111">
        <v>18899.531809999997</v>
      </c>
      <c r="V36" s="111">
        <v>15442.843060000001</v>
      </c>
      <c r="W36" s="111">
        <v>7688.6795499999998</v>
      </c>
      <c r="X36" s="111">
        <v>38262.682199999996</v>
      </c>
      <c r="Y36" s="111">
        <v>89344.941800000001</v>
      </c>
      <c r="Z36" s="111">
        <v>157223.10384</v>
      </c>
      <c r="AA36" s="111">
        <v>163352.43327000001</v>
      </c>
      <c r="AB36" s="111">
        <v>90738.164999999994</v>
      </c>
      <c r="AC36" s="111">
        <v>4817.3415599999998</v>
      </c>
      <c r="AD36" s="111">
        <v>16246.666930000003</v>
      </c>
      <c r="AE36" s="111">
        <v>20401.242829999999</v>
      </c>
      <c r="AF36" s="111">
        <v>144.36966999999999</v>
      </c>
      <c r="AG36" s="181">
        <v>0</v>
      </c>
      <c r="AH36" s="185"/>
      <c r="AI36" s="72"/>
      <c r="AK36" s="203" t="str">
        <v>EDTAZN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938.91</v>
      </c>
      <c r="EE36">
        <v>43.3</v>
      </c>
      <c r="EF36">
        <v>3.22</v>
      </c>
      <c r="EG36">
        <v>30.84</v>
      </c>
      <c r="EH36">
        <v>50.47</v>
      </c>
      <c r="EI36">
        <v>323.14999999999998</v>
      </c>
      <c r="EJ36">
        <v>1255.73</v>
      </c>
      <c r="EK36">
        <v>415.69</v>
      </c>
      <c r="EL36">
        <v>856.6</v>
      </c>
      <c r="EM36">
        <v>2719.72</v>
      </c>
      <c r="EN36">
        <v>37.130000000000003</v>
      </c>
      <c r="EO36">
        <v>401.89</v>
      </c>
      <c r="EP36">
        <v>11</v>
      </c>
      <c r="EQ36">
        <v>631</v>
      </c>
      <c r="ER36">
        <v>277</v>
      </c>
      <c r="ES36">
        <v>5390</v>
      </c>
      <c r="ET36">
        <v>335</v>
      </c>
      <c r="EU36">
        <v>1727</v>
      </c>
      <c r="EV36">
        <v>986</v>
      </c>
      <c r="EW36">
        <v>76</v>
      </c>
      <c r="EX36">
        <v>140</v>
      </c>
      <c r="EY36">
        <v>98</v>
      </c>
      <c r="EZ36">
        <v>5423</v>
      </c>
      <c r="FA36">
        <v>74</v>
      </c>
    </row>
    <row r="37" spans="2:157" ht="15.75" thickBot="1" x14ac:dyDescent="0.3">
      <c r="B37" s="123">
        <f t="shared" si="9"/>
        <v>42460</v>
      </c>
      <c r="C37" s="108">
        <v>1910.1505999999999</v>
      </c>
      <c r="D37" s="108">
        <v>40093.429179999985</v>
      </c>
      <c r="E37" s="108">
        <v>36495.108399999997</v>
      </c>
      <c r="F37" s="108">
        <v>15007.499080000005</v>
      </c>
      <c r="G37" s="108">
        <v>426964.23442999995</v>
      </c>
      <c r="H37" s="108">
        <v>16365.507500000003</v>
      </c>
      <c r="I37" s="108">
        <v>88694.425789999979</v>
      </c>
      <c r="J37" s="108">
        <v>9407.7864000000009</v>
      </c>
      <c r="K37" s="108">
        <v>70973.921940000015</v>
      </c>
      <c r="L37" s="108">
        <v>10562.42978</v>
      </c>
      <c r="M37" s="108">
        <v>31073.228550000003</v>
      </c>
      <c r="N37" s="108">
        <v>484.03949999999998</v>
      </c>
      <c r="O37" s="108">
        <v>4302.66626</v>
      </c>
      <c r="P37" s="108">
        <v>223.49250000000001</v>
      </c>
      <c r="Q37" s="109" t="s">
        <v>168</v>
      </c>
      <c r="R37" s="108">
        <v>3693.7055600000003</v>
      </c>
      <c r="S37" s="108">
        <v>114330</v>
      </c>
      <c r="T37" s="108">
        <v>71268.688359999986</v>
      </c>
      <c r="U37" s="108">
        <v>41858.286460000003</v>
      </c>
      <c r="V37" s="108">
        <v>20272.450950000006</v>
      </c>
      <c r="W37" s="108">
        <v>48412.264499999997</v>
      </c>
      <c r="X37" s="108">
        <v>30922.016799999998</v>
      </c>
      <c r="Y37" s="108">
        <v>121180.82625000001</v>
      </c>
      <c r="Z37" s="108">
        <v>155374.084</v>
      </c>
      <c r="AA37" s="108">
        <v>183069.38046000001</v>
      </c>
      <c r="AB37" s="108">
        <v>312731.76104999997</v>
      </c>
      <c r="AC37" s="108">
        <v>20905.789450000004</v>
      </c>
      <c r="AD37" s="108">
        <v>83473.673679999978</v>
      </c>
      <c r="AE37" s="108">
        <v>15750.61519</v>
      </c>
      <c r="AF37" s="108">
        <v>460.60866000000004</v>
      </c>
      <c r="AG37" s="182">
        <v>3340.7952</v>
      </c>
      <c r="AH37" s="185"/>
      <c r="AI37" s="72"/>
      <c r="AK37" s="203" t="str">
        <v>SO4CU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395.29</v>
      </c>
      <c r="EE37">
        <v>1.04</v>
      </c>
      <c r="EF37">
        <v>96.51</v>
      </c>
      <c r="EG37">
        <v>162.81</v>
      </c>
      <c r="EH37">
        <v>288.83999999999997</v>
      </c>
      <c r="EI37">
        <v>21.57</v>
      </c>
      <c r="EJ37">
        <v>961.87</v>
      </c>
      <c r="EK37">
        <v>696.89</v>
      </c>
      <c r="EL37">
        <v>1050.73</v>
      </c>
      <c r="EM37">
        <v>986.09</v>
      </c>
      <c r="EN37">
        <v>30.71</v>
      </c>
      <c r="EO37">
        <v>595.33000000000004</v>
      </c>
      <c r="EP37">
        <v>1</v>
      </c>
      <c r="EQ37">
        <v>2</v>
      </c>
      <c r="ER37">
        <v>13</v>
      </c>
      <c r="ES37">
        <v>52</v>
      </c>
      <c r="ET37">
        <v>1416</v>
      </c>
      <c r="EU37">
        <v>1385</v>
      </c>
      <c r="EV37">
        <v>169</v>
      </c>
      <c r="EW37">
        <v>322</v>
      </c>
      <c r="EX37">
        <v>196</v>
      </c>
      <c r="EY37">
        <v>2</v>
      </c>
      <c r="EZ37">
        <v>1</v>
      </c>
      <c r="FA37">
        <v>31</v>
      </c>
    </row>
    <row r="38" spans="2:157" x14ac:dyDescent="0.25">
      <c r="B38" s="123">
        <f t="shared" si="9"/>
        <v>42490</v>
      </c>
      <c r="C38" s="114">
        <v>6778.9494000000013</v>
      </c>
      <c r="D38" s="114">
        <v>15714.627200000001</v>
      </c>
      <c r="E38" s="114">
        <v>85</v>
      </c>
      <c r="F38" s="114">
        <v>9075.6717600000011</v>
      </c>
      <c r="G38" s="114">
        <v>405210.86119999998</v>
      </c>
      <c r="H38" s="114">
        <v>11332.528299999998</v>
      </c>
      <c r="I38" s="114">
        <v>162499.46252000003</v>
      </c>
      <c r="J38" s="114">
        <v>6808.5284000000001</v>
      </c>
      <c r="K38" s="114">
        <v>19537.354419999996</v>
      </c>
      <c r="L38" s="114">
        <v>17142.590820000001</v>
      </c>
      <c r="M38" s="114">
        <v>23116.120299999999</v>
      </c>
      <c r="N38" s="114">
        <v>1327.4955</v>
      </c>
      <c r="O38" s="114">
        <v>14363.54235</v>
      </c>
      <c r="P38" s="114">
        <v>445.14499999999998</v>
      </c>
      <c r="Q38" s="115" t="s">
        <v>168</v>
      </c>
      <c r="R38" s="114">
        <v>7699.7619600000007</v>
      </c>
      <c r="S38" s="114">
        <v>123464</v>
      </c>
      <c r="T38" s="114">
        <v>54257.707119999985</v>
      </c>
      <c r="U38" s="114">
        <v>61398.192820000004</v>
      </c>
      <c r="V38" s="114">
        <v>49343.459659999993</v>
      </c>
      <c r="W38" s="114">
        <v>10392.662249999999</v>
      </c>
      <c r="X38" s="114">
        <v>24416.296700000003</v>
      </c>
      <c r="Y38" s="114">
        <v>96937</v>
      </c>
      <c r="Z38" s="114">
        <v>140015</v>
      </c>
      <c r="AA38" s="114">
        <v>164243.55531999998</v>
      </c>
      <c r="AB38" s="114">
        <v>378361</v>
      </c>
      <c r="AC38" s="114">
        <v>2801.2492000000002</v>
      </c>
      <c r="AD38" s="114">
        <v>41532.285459999999</v>
      </c>
      <c r="AE38" s="114">
        <v>28495.971940000007</v>
      </c>
      <c r="AF38" s="91">
        <v>531.14182000000005</v>
      </c>
      <c r="AG38" s="180">
        <v>2462.1716000000001</v>
      </c>
      <c r="AH38" s="185"/>
      <c r="AI38" s="72"/>
    </row>
    <row r="39" spans="2:157" x14ac:dyDescent="0.25">
      <c r="B39" s="123">
        <f t="shared" si="9"/>
        <v>42521</v>
      </c>
      <c r="C39" s="111">
        <v>40641.547200000008</v>
      </c>
      <c r="D39" s="111">
        <v>1755.0704999999998</v>
      </c>
      <c r="E39" s="111">
        <v>25602.346400000002</v>
      </c>
      <c r="F39" s="111">
        <v>5172.3797700000005</v>
      </c>
      <c r="G39" s="111">
        <v>303268.80278000003</v>
      </c>
      <c r="H39" s="111">
        <v>4310</v>
      </c>
      <c r="I39" s="111">
        <v>88167.160979999986</v>
      </c>
      <c r="J39" s="111">
        <v>7603.887099999999</v>
      </c>
      <c r="K39" s="111">
        <v>28119.040280000001</v>
      </c>
      <c r="L39" s="111">
        <v>9867.1612399999995</v>
      </c>
      <c r="M39" s="111">
        <v>6553.8421000000008</v>
      </c>
      <c r="N39" s="111">
        <v>65.034900000000007</v>
      </c>
      <c r="O39" s="111">
        <v>6581.1428599999999</v>
      </c>
      <c r="P39" s="111">
        <v>49.5</v>
      </c>
      <c r="Q39" s="112" t="s">
        <v>168</v>
      </c>
      <c r="R39" s="111">
        <v>3557.6391899999999</v>
      </c>
      <c r="S39" s="111">
        <v>155841.7696</v>
      </c>
      <c r="T39" s="111">
        <v>26414.943439999999</v>
      </c>
      <c r="U39" s="111">
        <v>31131.164299999997</v>
      </c>
      <c r="V39" s="111">
        <v>28026.420609999994</v>
      </c>
      <c r="W39" s="111">
        <v>12925.114100000001</v>
      </c>
      <c r="X39" s="111">
        <v>6404.8923999999997</v>
      </c>
      <c r="Y39" s="111">
        <v>69862.809899999993</v>
      </c>
      <c r="Z39" s="111">
        <v>89995</v>
      </c>
      <c r="AA39" s="111">
        <v>197850.21506000002</v>
      </c>
      <c r="AB39" s="111">
        <v>180220.24015999999</v>
      </c>
      <c r="AC39" s="111">
        <v>7707.5461999999989</v>
      </c>
      <c r="AD39" s="111">
        <v>77884.811020000008</v>
      </c>
      <c r="AE39" s="111">
        <v>9964.3528299999998</v>
      </c>
      <c r="AF39" s="111">
        <v>4300.67706</v>
      </c>
      <c r="AG39" s="181">
        <v>1544.0436</v>
      </c>
      <c r="AH39" s="185"/>
      <c r="AI39" s="72"/>
    </row>
    <row r="40" spans="2:157" ht="15.75" thickBot="1" x14ac:dyDescent="0.3">
      <c r="B40" s="123">
        <f t="shared" si="9"/>
        <v>42551</v>
      </c>
      <c r="C40" s="108">
        <v>13048.69585</v>
      </c>
      <c r="D40" s="108">
        <v>1284.93985</v>
      </c>
      <c r="E40" s="108">
        <v>27549.010399999999</v>
      </c>
      <c r="F40" s="108">
        <v>4071.51577</v>
      </c>
      <c r="G40" s="108">
        <v>99162.108600000007</v>
      </c>
      <c r="H40" s="108">
        <v>3176.9860499999995</v>
      </c>
      <c r="I40" s="108">
        <v>131863.13257000005</v>
      </c>
      <c r="J40" s="108">
        <v>13129.943700000002</v>
      </c>
      <c r="K40" s="108">
        <v>22894.786689999994</v>
      </c>
      <c r="L40" s="108">
        <v>16942.957729999998</v>
      </c>
      <c r="M40" s="108">
        <v>5500.0522000000001</v>
      </c>
      <c r="N40" s="108">
        <v>422.84249999999997</v>
      </c>
      <c r="O40" s="108">
        <v>3030.5255999999999</v>
      </c>
      <c r="P40" s="108">
        <v>437.34749999999997</v>
      </c>
      <c r="Q40" s="109" t="s">
        <v>168</v>
      </c>
      <c r="R40" s="108">
        <v>6113.6596199999985</v>
      </c>
      <c r="S40" s="108">
        <v>49854.186450000001</v>
      </c>
      <c r="T40" s="108">
        <v>70639.40284000001</v>
      </c>
      <c r="U40" s="108">
        <v>93125.531390000033</v>
      </c>
      <c r="V40" s="108">
        <v>25231.20407</v>
      </c>
      <c r="W40" s="108">
        <v>8455.6010999999999</v>
      </c>
      <c r="X40" s="108">
        <v>366.44100000000003</v>
      </c>
      <c r="Y40" s="108">
        <v>24120</v>
      </c>
      <c r="Z40" s="108">
        <v>10000</v>
      </c>
      <c r="AA40" s="108">
        <v>70162.228709999996</v>
      </c>
      <c r="AB40" s="108">
        <v>28151.003700000001</v>
      </c>
      <c r="AC40" s="108">
        <v>11550.725900000003</v>
      </c>
      <c r="AD40" s="108">
        <v>92934.40317000002</v>
      </c>
      <c r="AE40" s="108">
        <v>9892.3018000000011</v>
      </c>
      <c r="AF40" s="108">
        <v>436.55916000000002</v>
      </c>
      <c r="AG40" s="182">
        <v>150</v>
      </c>
      <c r="AH40" s="185"/>
      <c r="AI40" s="72"/>
    </row>
    <row r="41" spans="2:157" x14ac:dyDescent="0.25">
      <c r="B41" s="123">
        <f t="shared" si="9"/>
        <v>42582</v>
      </c>
      <c r="C41" s="111">
        <v>8497.719219999999</v>
      </c>
      <c r="D41" s="111">
        <v>1148.4402799999998</v>
      </c>
      <c r="E41" s="111">
        <v>71067.522800000006</v>
      </c>
      <c r="F41" s="111">
        <v>2462.1032600000003</v>
      </c>
      <c r="G41" s="111">
        <v>113175.27903000001</v>
      </c>
      <c r="H41" s="111">
        <v>2623.3117999999999</v>
      </c>
      <c r="I41" s="111">
        <v>55435.367649999986</v>
      </c>
      <c r="J41" s="111">
        <v>4994.3539099999989</v>
      </c>
      <c r="K41" s="111">
        <v>11461.9704</v>
      </c>
      <c r="L41" s="111">
        <v>5732.30501</v>
      </c>
      <c r="M41" s="111">
        <v>2987.9713499999998</v>
      </c>
      <c r="N41" s="111">
        <v>76.009500000000003</v>
      </c>
      <c r="O41" s="111">
        <v>3294.2431999999999</v>
      </c>
      <c r="P41" s="111">
        <v>77.174999999999997</v>
      </c>
      <c r="Q41" s="112" t="s">
        <v>168</v>
      </c>
      <c r="R41" s="111">
        <v>2440.9552400000002</v>
      </c>
      <c r="S41" s="111">
        <v>83823</v>
      </c>
      <c r="T41" s="111">
        <v>25532.839059999998</v>
      </c>
      <c r="U41" s="111">
        <v>29178.639770000002</v>
      </c>
      <c r="V41" s="111">
        <v>8203.5868399999999</v>
      </c>
      <c r="W41" s="111">
        <v>13590.421499999999</v>
      </c>
      <c r="X41" s="111">
        <v>3150</v>
      </c>
      <c r="Y41" s="111">
        <v>24894.02922</v>
      </c>
      <c r="Z41" s="111">
        <v>69.888000000000005</v>
      </c>
      <c r="AA41" s="111">
        <v>50663.196759999999</v>
      </c>
      <c r="AB41" s="111">
        <v>18562.07936</v>
      </c>
      <c r="AC41" s="111">
        <v>17271.187050000004</v>
      </c>
      <c r="AD41" s="111">
        <v>27363.912280000004</v>
      </c>
      <c r="AE41" s="111">
        <v>5510.6819799999994</v>
      </c>
      <c r="AF41" s="91">
        <v>347.29826000000003</v>
      </c>
      <c r="AG41" s="180">
        <v>225</v>
      </c>
      <c r="AH41" s="185"/>
      <c r="AI41" s="72"/>
    </row>
    <row r="42" spans="2:157" x14ac:dyDescent="0.25">
      <c r="B42" s="123">
        <f t="shared" si="9"/>
        <v>42613</v>
      </c>
      <c r="C42" s="111">
        <v>2737.3335999999999</v>
      </c>
      <c r="D42" s="111">
        <v>462.48710000000005</v>
      </c>
      <c r="E42" s="111">
        <v>75</v>
      </c>
      <c r="F42" s="111">
        <v>3586.0252999999998</v>
      </c>
      <c r="G42" s="111">
        <v>52782.05290000001</v>
      </c>
      <c r="H42" s="111">
        <v>4196.7423000000008</v>
      </c>
      <c r="I42" s="111">
        <v>68187.354289999988</v>
      </c>
      <c r="J42" s="111">
        <v>2674.2318500000001</v>
      </c>
      <c r="K42" s="111">
        <v>9290.7464299999992</v>
      </c>
      <c r="L42" s="111">
        <v>3359.7148400000001</v>
      </c>
      <c r="M42" s="111">
        <v>15097.531300000001</v>
      </c>
      <c r="N42" s="111">
        <v>555.41100000000006</v>
      </c>
      <c r="O42" s="111">
        <v>4068.9567499999998</v>
      </c>
      <c r="P42" s="111">
        <v>481.71500000000003</v>
      </c>
      <c r="Q42" s="112" t="s">
        <v>168</v>
      </c>
      <c r="R42" s="111">
        <v>702.87666000000002</v>
      </c>
      <c r="S42" s="111">
        <v>12280.636200000001</v>
      </c>
      <c r="T42" s="111">
        <v>6669.4412499999989</v>
      </c>
      <c r="U42" s="111">
        <v>17675.179329999999</v>
      </c>
      <c r="V42" s="111">
        <v>21431.727379999997</v>
      </c>
      <c r="W42" s="111">
        <v>5316.3772500000014</v>
      </c>
      <c r="X42" s="111">
        <v>0</v>
      </c>
      <c r="Y42" s="111">
        <v>17370</v>
      </c>
      <c r="Z42" s="111">
        <v>9.8879999999999999</v>
      </c>
      <c r="AA42" s="111">
        <v>15234.603500000001</v>
      </c>
      <c r="AB42" s="111">
        <v>16235</v>
      </c>
      <c r="AC42" s="111">
        <v>599.98160000000007</v>
      </c>
      <c r="AD42" s="111">
        <v>22038.126300000004</v>
      </c>
      <c r="AE42" s="111">
        <v>7575.1999999999989</v>
      </c>
      <c r="AF42" s="111">
        <v>70.607900000000001</v>
      </c>
      <c r="AG42" s="181">
        <v>0</v>
      </c>
      <c r="AH42" s="185"/>
      <c r="AI42" s="72"/>
    </row>
    <row r="43" spans="2:157" ht="15.75" thickBot="1" x14ac:dyDescent="0.3">
      <c r="B43" s="123">
        <f t="shared" si="9"/>
        <v>42643</v>
      </c>
      <c r="C43" s="108">
        <v>1259.615</v>
      </c>
      <c r="D43" s="108">
        <v>709.0680000000001</v>
      </c>
      <c r="E43" s="108">
        <v>25</v>
      </c>
      <c r="F43" s="108">
        <v>1452.03334</v>
      </c>
      <c r="G43" s="108">
        <v>147012.89708</v>
      </c>
      <c r="H43" s="108">
        <v>3389.6931599999998</v>
      </c>
      <c r="I43" s="108">
        <v>49868.661519999994</v>
      </c>
      <c r="J43" s="108">
        <v>4616.3565999999992</v>
      </c>
      <c r="K43" s="108">
        <v>9229.742040000001</v>
      </c>
      <c r="L43" s="108">
        <v>6021.2099499999995</v>
      </c>
      <c r="M43" s="108">
        <v>1605.4726599999999</v>
      </c>
      <c r="N43" s="108">
        <v>-949.78149999999982</v>
      </c>
      <c r="O43" s="108">
        <v>8947.9346600000008</v>
      </c>
      <c r="P43" s="108">
        <v>223.49250000000001</v>
      </c>
      <c r="Q43" s="109" t="s">
        <v>168</v>
      </c>
      <c r="R43" s="108">
        <v>1028.9177400000001</v>
      </c>
      <c r="S43" s="108">
        <v>66962</v>
      </c>
      <c r="T43" s="108">
        <v>13920.597309999997</v>
      </c>
      <c r="U43" s="108">
        <v>29905.593009999993</v>
      </c>
      <c r="V43" s="108">
        <v>2984.45091</v>
      </c>
      <c r="W43" s="108">
        <v>6969.0598599999994</v>
      </c>
      <c r="X43" s="108">
        <v>1896</v>
      </c>
      <c r="Y43" s="108">
        <v>26665.931499999999</v>
      </c>
      <c r="Z43" s="108">
        <v>30144.90236</v>
      </c>
      <c r="AA43" s="108">
        <v>96329.124100000001</v>
      </c>
      <c r="AB43" s="108">
        <v>65126.079360000003</v>
      </c>
      <c r="AC43" s="108">
        <v>528.36699999999996</v>
      </c>
      <c r="AD43" s="108">
        <v>28107.47133</v>
      </c>
      <c r="AE43" s="108">
        <v>2022.1505000000002</v>
      </c>
      <c r="AF43" s="108">
        <v>75.619599999999991</v>
      </c>
      <c r="AG43" s="182">
        <v>60</v>
      </c>
      <c r="AH43" s="185"/>
      <c r="AI43" s="72"/>
    </row>
    <row r="44" spans="2:157" x14ac:dyDescent="0.25">
      <c r="B44" s="123">
        <f t="shared" si="9"/>
        <v>42674</v>
      </c>
      <c r="C44" s="114">
        <v>2476.8697000000002</v>
      </c>
      <c r="D44" s="114">
        <v>313.89975000000004</v>
      </c>
      <c r="E44" s="114">
        <v>75</v>
      </c>
      <c r="F44" s="114">
        <v>3592.56603</v>
      </c>
      <c r="G44" s="114">
        <v>610473.90197999997</v>
      </c>
      <c r="H44" s="114">
        <v>10442.52075</v>
      </c>
      <c r="I44" s="114">
        <v>27883.869690000003</v>
      </c>
      <c r="J44" s="114">
        <v>4450.72</v>
      </c>
      <c r="K44" s="114">
        <v>11137.215040000001</v>
      </c>
      <c r="L44" s="114">
        <v>3621.2692000000002</v>
      </c>
      <c r="M44" s="114">
        <v>10435.234</v>
      </c>
      <c r="N44" s="114">
        <v>75.411000000000001</v>
      </c>
      <c r="O44" s="114">
        <v>13524.692999999999</v>
      </c>
      <c r="P44" s="114">
        <v>445.14499999999998</v>
      </c>
      <c r="Q44" s="115" t="s">
        <v>168</v>
      </c>
      <c r="R44" s="114">
        <v>1356.5906099999997</v>
      </c>
      <c r="S44" s="114">
        <v>198148</v>
      </c>
      <c r="T44" s="114">
        <v>9295.4869500000004</v>
      </c>
      <c r="U44" s="114">
        <v>19914.614510000003</v>
      </c>
      <c r="V44" s="114">
        <v>4589.2401000000009</v>
      </c>
      <c r="W44" s="114">
        <v>5834.9913099999994</v>
      </c>
      <c r="X44" s="114">
        <v>56289.533199999991</v>
      </c>
      <c r="Y44" s="114">
        <v>103108.74464</v>
      </c>
      <c r="Z44" s="114">
        <v>145172.47966000001</v>
      </c>
      <c r="AA44" s="114">
        <v>218956.79485000001</v>
      </c>
      <c r="AB44" s="114">
        <v>215476.64455999999</v>
      </c>
      <c r="AC44" s="114">
        <v>2195.94292</v>
      </c>
      <c r="AD44" s="114">
        <v>15422.336550000002</v>
      </c>
      <c r="AE44" s="114">
        <v>2430.5545999999999</v>
      </c>
      <c r="AF44" s="91">
        <v>244.53117</v>
      </c>
      <c r="AG44" s="180">
        <v>150</v>
      </c>
      <c r="AH44" s="185"/>
      <c r="AI44" s="72"/>
    </row>
    <row r="45" spans="2:157" x14ac:dyDescent="0.25">
      <c r="B45" s="123">
        <f t="shared" si="9"/>
        <v>42704</v>
      </c>
      <c r="C45" s="111">
        <v>121902.65849999999</v>
      </c>
      <c r="D45" s="111">
        <v>111.99977999999999</v>
      </c>
      <c r="E45" s="111">
        <v>1632.296</v>
      </c>
      <c r="F45" s="111">
        <v>3869.1428600000008</v>
      </c>
      <c r="G45" s="111">
        <v>495397.23600000003</v>
      </c>
      <c r="H45" s="111">
        <v>4228.4623599999995</v>
      </c>
      <c r="I45" s="111">
        <v>27157.038699999997</v>
      </c>
      <c r="J45" s="111">
        <v>1862.65211</v>
      </c>
      <c r="K45" s="111">
        <v>39173.551509999998</v>
      </c>
      <c r="L45" s="111">
        <v>2928.7131099999992</v>
      </c>
      <c r="M45" s="111">
        <v>30072.469799999999</v>
      </c>
      <c r="N45" s="111">
        <v>629.03289999999993</v>
      </c>
      <c r="O45" s="111">
        <v>38158.505550000002</v>
      </c>
      <c r="P45" s="111">
        <v>49.5</v>
      </c>
      <c r="Q45" s="112" t="s">
        <v>168</v>
      </c>
      <c r="R45" s="111">
        <v>1062.85418</v>
      </c>
      <c r="S45" s="111">
        <v>147176.5</v>
      </c>
      <c r="T45" s="111">
        <v>37198.141529999994</v>
      </c>
      <c r="U45" s="111">
        <v>33763.147330000007</v>
      </c>
      <c r="V45" s="111">
        <v>1388.2468899999999</v>
      </c>
      <c r="W45" s="111">
        <v>6171.8331099999996</v>
      </c>
      <c r="X45" s="111">
        <v>24102.346799999999</v>
      </c>
      <c r="Y45" s="111">
        <v>129303.6586</v>
      </c>
      <c r="Z45" s="111">
        <v>190083.93901</v>
      </c>
      <c r="AA45" s="111">
        <v>192210.75604000001</v>
      </c>
      <c r="AB45" s="111">
        <v>283165</v>
      </c>
      <c r="AC45" s="111">
        <v>873.12434000000007</v>
      </c>
      <c r="AD45" s="111">
        <v>27756.346590000005</v>
      </c>
      <c r="AE45" s="111">
        <v>1769.8966200000002</v>
      </c>
      <c r="AF45" s="111">
        <v>291.00051000000002</v>
      </c>
      <c r="AG45" s="181">
        <v>0</v>
      </c>
      <c r="AH45" s="185"/>
      <c r="AI45" s="72"/>
    </row>
    <row r="46" spans="2:157" ht="15.75" thickBot="1" x14ac:dyDescent="0.3">
      <c r="B46" s="123">
        <f t="shared" si="9"/>
        <v>42735</v>
      </c>
      <c r="C46" s="108">
        <v>30265.597999999998</v>
      </c>
      <c r="D46" s="108">
        <v>192.91320000000002</v>
      </c>
      <c r="E46" s="108">
        <v>1636.49</v>
      </c>
      <c r="F46" s="108">
        <v>4564.0861800000002</v>
      </c>
      <c r="G46" s="108">
        <v>381707.27294</v>
      </c>
      <c r="H46" s="108">
        <v>8980.8931399999983</v>
      </c>
      <c r="I46" s="108">
        <v>25642.00848</v>
      </c>
      <c r="J46" s="108">
        <v>2494.6753399999998</v>
      </c>
      <c r="K46" s="108">
        <v>20011.150079999999</v>
      </c>
      <c r="L46" s="108">
        <v>3101.6035099999999</v>
      </c>
      <c r="M46" s="108">
        <v>50641.214</v>
      </c>
      <c r="N46" s="108">
        <v>76.308750000000003</v>
      </c>
      <c r="O46" s="108">
        <v>7017.7451999999994</v>
      </c>
      <c r="P46" s="108">
        <v>437.34749999999997</v>
      </c>
      <c r="Q46" s="109" t="s">
        <v>168</v>
      </c>
      <c r="R46" s="108">
        <v>1274.9438700000003</v>
      </c>
      <c r="S46" s="108">
        <v>109775</v>
      </c>
      <c r="T46" s="108">
        <v>19102.490639999996</v>
      </c>
      <c r="U46" s="108">
        <v>15914.433060000001</v>
      </c>
      <c r="V46" s="108">
        <v>2652.79898</v>
      </c>
      <c r="W46" s="108">
        <v>3420.0335599999999</v>
      </c>
      <c r="X46" s="108">
        <v>40869.0285</v>
      </c>
      <c r="Y46" s="108">
        <v>81657.441800000001</v>
      </c>
      <c r="Z46" s="108">
        <v>128740.47966</v>
      </c>
      <c r="AA46" s="108">
        <v>155004.00644</v>
      </c>
      <c r="AB46" s="108">
        <v>169915.79235999999</v>
      </c>
      <c r="AC46" s="108">
        <v>1307.7247400000001</v>
      </c>
      <c r="AD46" s="108">
        <v>13258.07912</v>
      </c>
      <c r="AE46" s="108">
        <v>1848.9817</v>
      </c>
      <c r="AF46" s="108">
        <v>128.72705999999999</v>
      </c>
      <c r="AG46" s="182">
        <v>0</v>
      </c>
      <c r="AH46" s="185"/>
      <c r="AI46" s="72"/>
    </row>
    <row r="47" spans="2:157" x14ac:dyDescent="0.25">
      <c r="B47" s="123">
        <f t="shared" si="9"/>
        <v>42766</v>
      </c>
      <c r="C47" s="114">
        <v>34563.312499999993</v>
      </c>
      <c r="D47" s="114">
        <v>1084.6793</v>
      </c>
      <c r="E47" s="114">
        <v>1612.296</v>
      </c>
      <c r="F47" s="114">
        <v>7361.1282399999991</v>
      </c>
      <c r="G47" s="114">
        <v>418635.94319999998</v>
      </c>
      <c r="H47" s="114">
        <v>2261.9621999999999</v>
      </c>
      <c r="I47" s="114">
        <v>60858.829870000001</v>
      </c>
      <c r="J47" s="114">
        <v>4733.461150000001</v>
      </c>
      <c r="K47" s="114">
        <v>58407.007879999997</v>
      </c>
      <c r="L47" s="114">
        <v>5118.6833700000007</v>
      </c>
      <c r="M47" s="114">
        <v>20907.592799999999</v>
      </c>
      <c r="N47" s="114">
        <v>151.12125</v>
      </c>
      <c r="O47" s="114">
        <v>12987.78</v>
      </c>
      <c r="P47" s="114">
        <v>3230.415</v>
      </c>
      <c r="Q47" s="115" t="s">
        <v>168</v>
      </c>
      <c r="R47" s="114">
        <v>2518.2554099999998</v>
      </c>
      <c r="S47" s="114">
        <v>115796</v>
      </c>
      <c r="T47" s="114">
        <v>30452.53368</v>
      </c>
      <c r="U47" s="114">
        <v>36380.825240000006</v>
      </c>
      <c r="V47" s="114">
        <v>5311.1062300000021</v>
      </c>
      <c r="W47" s="114">
        <v>14330.600210000002</v>
      </c>
      <c r="X47" s="114">
        <v>10412.907800000001</v>
      </c>
      <c r="Y47" s="114">
        <v>74989.916800000006</v>
      </c>
      <c r="Z47" s="114">
        <v>130187.94305999999</v>
      </c>
      <c r="AA47" s="114">
        <v>131413.07610999999</v>
      </c>
      <c r="AB47" s="114">
        <v>137617.5</v>
      </c>
      <c r="AC47" s="114">
        <v>12241.361990000001</v>
      </c>
      <c r="AD47" s="114">
        <v>33832.773239999995</v>
      </c>
      <c r="AE47" s="114">
        <v>17105.90036</v>
      </c>
      <c r="AF47" s="91">
        <v>438.79232999999999</v>
      </c>
      <c r="AG47" s="180">
        <v>0</v>
      </c>
      <c r="AH47" s="185"/>
      <c r="AI47" s="72"/>
    </row>
    <row r="48" spans="2:157" x14ac:dyDescent="0.25">
      <c r="B48" s="123">
        <f t="shared" si="9"/>
        <v>42794</v>
      </c>
      <c r="C48" s="111">
        <v>151.809</v>
      </c>
      <c r="D48" s="111">
        <v>28679.305499999999</v>
      </c>
      <c r="E48" s="111">
        <v>30</v>
      </c>
      <c r="F48" s="111">
        <v>11960.710310000002</v>
      </c>
      <c r="G48" s="111">
        <v>390019.40528000006</v>
      </c>
      <c r="H48" s="111">
        <v>11234.501079999998</v>
      </c>
      <c r="I48" s="111">
        <v>87400.089639999991</v>
      </c>
      <c r="J48" s="111">
        <v>6289.3672699999997</v>
      </c>
      <c r="K48" s="111">
        <v>100404.74176999998</v>
      </c>
      <c r="L48" s="111">
        <v>6087.4862000000003</v>
      </c>
      <c r="M48" s="111">
        <v>10760</v>
      </c>
      <c r="N48" s="111">
        <v>753.31290000000013</v>
      </c>
      <c r="O48" s="111">
        <v>11178.908099999999</v>
      </c>
      <c r="P48" s="111">
        <v>338.30500000000001</v>
      </c>
      <c r="Q48" s="112" t="s">
        <v>168</v>
      </c>
      <c r="R48" s="111">
        <v>2738.4667199999999</v>
      </c>
      <c r="S48" s="111">
        <v>92192</v>
      </c>
      <c r="T48" s="111">
        <v>56148.910279999989</v>
      </c>
      <c r="U48" s="111">
        <v>50953.842400000001</v>
      </c>
      <c r="V48" s="111">
        <v>18756.721120000002</v>
      </c>
      <c r="W48" s="111">
        <v>2356.1593000000003</v>
      </c>
      <c r="X48" s="111">
        <v>8977.5460000000003</v>
      </c>
      <c r="Y48" s="111">
        <v>67506.189039999997</v>
      </c>
      <c r="Z48" s="111">
        <v>115068</v>
      </c>
      <c r="AA48" s="111">
        <v>110261.2132</v>
      </c>
      <c r="AB48" s="111">
        <v>139929.96455999999</v>
      </c>
      <c r="AC48" s="111">
        <v>907.42274999999995</v>
      </c>
      <c r="AD48" s="111">
        <v>54491.507340000004</v>
      </c>
      <c r="AE48" s="111">
        <v>12580.959930000001</v>
      </c>
      <c r="AF48" s="111">
        <v>41.210599999999999</v>
      </c>
      <c r="AG48" s="181">
        <v>0</v>
      </c>
      <c r="AH48" s="185"/>
      <c r="AI48" s="72"/>
    </row>
    <row r="49" spans="2:35" ht="15.75" thickBot="1" x14ac:dyDescent="0.3">
      <c r="B49" s="123">
        <f t="shared" si="9"/>
        <v>42825</v>
      </c>
      <c r="C49" s="108">
        <v>2647.5904</v>
      </c>
      <c r="D49" s="108">
        <v>21163.16710000001</v>
      </c>
      <c r="E49" s="108">
        <v>384.94</v>
      </c>
      <c r="F49" s="108">
        <v>8424.0295399999995</v>
      </c>
      <c r="G49" s="108">
        <v>275180.82949999999</v>
      </c>
      <c r="H49" s="108">
        <v>7843.1705000000002</v>
      </c>
      <c r="I49" s="108">
        <v>56674.661419999989</v>
      </c>
      <c r="J49" s="108">
        <v>6721.4284000000007</v>
      </c>
      <c r="K49" s="108">
        <v>144792.28239999997</v>
      </c>
      <c r="L49" s="108">
        <v>6339.2531600000002</v>
      </c>
      <c r="M49" s="108">
        <v>14027.53796</v>
      </c>
      <c r="N49" s="108">
        <v>252.16770000000002</v>
      </c>
      <c r="O49" s="108">
        <v>11961.3609</v>
      </c>
      <c r="P49" s="108">
        <v>3330.99</v>
      </c>
      <c r="Q49" s="109" t="s">
        <v>168</v>
      </c>
      <c r="R49" s="108">
        <v>5681.0741400000006</v>
      </c>
      <c r="S49" s="108">
        <v>101203.856</v>
      </c>
      <c r="T49" s="108">
        <v>48735.700950000006</v>
      </c>
      <c r="U49" s="108">
        <v>122790.16565</v>
      </c>
      <c r="V49" s="108">
        <v>11879.455569999998</v>
      </c>
      <c r="W49" s="108">
        <v>38863.703269999998</v>
      </c>
      <c r="X49" s="108">
        <v>40809.943400000004</v>
      </c>
      <c r="Y49" s="108">
        <v>56546.7048</v>
      </c>
      <c r="Z49" s="108">
        <v>100251.09752</v>
      </c>
      <c r="AA49" s="108">
        <v>93407.717470000003</v>
      </c>
      <c r="AB49" s="108">
        <v>210456</v>
      </c>
      <c r="AC49" s="108">
        <v>8815.6507299999994</v>
      </c>
      <c r="AD49" s="108">
        <v>116744.64754999998</v>
      </c>
      <c r="AE49" s="108">
        <v>16093.535550000001</v>
      </c>
      <c r="AF49" s="108">
        <v>563.57220999999993</v>
      </c>
      <c r="AG49" s="182">
        <v>8780.8955999999998</v>
      </c>
      <c r="AH49" s="185"/>
      <c r="AI49" s="72"/>
    </row>
    <row r="50" spans="2:35" x14ac:dyDescent="0.25">
      <c r="B50" s="123">
        <f t="shared" si="9"/>
        <v>42855</v>
      </c>
      <c r="C50" s="114">
        <v>31000.0406</v>
      </c>
      <c r="D50" s="114">
        <v>10007.901330000001</v>
      </c>
      <c r="E50" s="114">
        <v>14113.465400000001</v>
      </c>
      <c r="F50" s="114">
        <v>6000.9547299999995</v>
      </c>
      <c r="G50" s="114">
        <v>237345.8909</v>
      </c>
      <c r="H50" s="114">
        <v>7192.2696999999998</v>
      </c>
      <c r="I50" s="114">
        <v>79692.388780000038</v>
      </c>
      <c r="J50" s="114">
        <v>6966.6566000000003</v>
      </c>
      <c r="K50" s="114">
        <v>181609.38472</v>
      </c>
      <c r="L50" s="114">
        <v>7255.7255100000002</v>
      </c>
      <c r="M50" s="114">
        <v>10742.401159999999</v>
      </c>
      <c r="N50" s="114">
        <v>-2891.6714999999999</v>
      </c>
      <c r="O50" s="114">
        <v>12632.479160000001</v>
      </c>
      <c r="P50" s="114">
        <v>1353.0750000000003</v>
      </c>
      <c r="Q50" s="115" t="s">
        <v>168</v>
      </c>
      <c r="R50" s="114">
        <v>3406.3331500000004</v>
      </c>
      <c r="S50" s="114">
        <v>56832</v>
      </c>
      <c r="T50" s="114">
        <v>31370.176599999995</v>
      </c>
      <c r="U50" s="114">
        <v>132101.71596000003</v>
      </c>
      <c r="V50" s="114">
        <v>12240.187000000002</v>
      </c>
      <c r="W50" s="114">
        <v>8627.7993599999991</v>
      </c>
      <c r="X50" s="114">
        <v>16177.4794</v>
      </c>
      <c r="Y50" s="114">
        <v>35871.213759999999</v>
      </c>
      <c r="Z50" s="114">
        <v>100167.217</v>
      </c>
      <c r="AA50" s="114">
        <v>95635.927499999991</v>
      </c>
      <c r="AB50" s="114">
        <v>213242.22349999999</v>
      </c>
      <c r="AC50" s="114">
        <v>4613.0021000000006</v>
      </c>
      <c r="AD50" s="114">
        <v>102633.37539999999</v>
      </c>
      <c r="AE50" s="114">
        <v>10617.345309999999</v>
      </c>
      <c r="AF50" s="91">
        <v>44.866800000000005</v>
      </c>
      <c r="AG50" s="180">
        <v>0</v>
      </c>
      <c r="AH50" s="185"/>
      <c r="AI50" s="72"/>
    </row>
    <row r="51" spans="2:35" x14ac:dyDescent="0.25">
      <c r="B51" s="123">
        <f t="shared" si="9"/>
        <v>42886</v>
      </c>
      <c r="C51" s="111">
        <v>84513.756620000015</v>
      </c>
      <c r="D51" s="111">
        <v>1661.5879999999997</v>
      </c>
      <c r="E51" s="111">
        <v>53538.558499999992</v>
      </c>
      <c r="F51" s="111">
        <v>7656.9315399999996</v>
      </c>
      <c r="G51" s="111">
        <v>211540.39048</v>
      </c>
      <c r="H51" s="111">
        <v>4238.1542000000009</v>
      </c>
      <c r="I51" s="111">
        <v>81249.655169999984</v>
      </c>
      <c r="J51" s="111">
        <v>10093.376699999997</v>
      </c>
      <c r="K51" s="111">
        <v>216276.1835999999</v>
      </c>
      <c r="L51" s="111">
        <v>12548.6914</v>
      </c>
      <c r="M51" s="111">
        <v>15617.798200000001</v>
      </c>
      <c r="N51" s="111">
        <v>550.42380000000003</v>
      </c>
      <c r="O51" s="111">
        <v>13651.603200000001</v>
      </c>
      <c r="P51" s="111">
        <v>734.14</v>
      </c>
      <c r="Q51" s="112" t="s">
        <v>168</v>
      </c>
      <c r="R51" s="111">
        <v>3668.5360000000001</v>
      </c>
      <c r="S51" s="111">
        <v>79286.5</v>
      </c>
      <c r="T51" s="111">
        <v>21511.654659999997</v>
      </c>
      <c r="U51" s="111">
        <v>158422.65891999996</v>
      </c>
      <c r="V51" s="111">
        <v>6578.7200200000007</v>
      </c>
      <c r="W51" s="111">
        <v>11553.5756</v>
      </c>
      <c r="X51" s="111">
        <v>2966.4259999999999</v>
      </c>
      <c r="Y51" s="111">
        <v>51406.86724</v>
      </c>
      <c r="Z51" s="111">
        <v>59995</v>
      </c>
      <c r="AA51" s="111">
        <v>91928.977559999999</v>
      </c>
      <c r="AB51" s="111">
        <v>149761.14455999999</v>
      </c>
      <c r="AC51" s="111">
        <v>15031.737100000002</v>
      </c>
      <c r="AD51" s="111">
        <v>53829.695680000012</v>
      </c>
      <c r="AE51" s="111">
        <v>6228.2476900000001</v>
      </c>
      <c r="AF51" s="111">
        <v>9134.6027599999998</v>
      </c>
      <c r="AG51" s="181">
        <v>1125</v>
      </c>
      <c r="AH51" s="185"/>
      <c r="AI51" s="72"/>
    </row>
    <row r="52" spans="2:35" ht="15.75" thickBot="1" x14ac:dyDescent="0.3">
      <c r="B52" s="123">
        <f t="shared" si="9"/>
        <v>42916</v>
      </c>
      <c r="C52" s="108">
        <v>69003.373640000005</v>
      </c>
      <c r="D52" s="108">
        <v>2345.9560800000004</v>
      </c>
      <c r="E52" s="108">
        <v>26568.289200000003</v>
      </c>
      <c r="F52" s="108">
        <v>6044.8924900000002</v>
      </c>
      <c r="G52" s="108">
        <v>56695.77399999999</v>
      </c>
      <c r="H52" s="108">
        <v>4636.7918</v>
      </c>
      <c r="I52" s="108">
        <v>75411.016060000038</v>
      </c>
      <c r="J52" s="108">
        <v>10093.678299999998</v>
      </c>
      <c r="K52" s="108">
        <v>91581.423800000004</v>
      </c>
      <c r="L52" s="108">
        <v>5104.7235500000006</v>
      </c>
      <c r="M52" s="108">
        <v>24771.1836</v>
      </c>
      <c r="N52" s="108">
        <v>75.411000000000001</v>
      </c>
      <c r="O52" s="108">
        <v>4480.5240000000003</v>
      </c>
      <c r="P52" s="108">
        <v>181.95999999999998</v>
      </c>
      <c r="Q52" s="109" t="s">
        <v>168</v>
      </c>
      <c r="R52" s="108">
        <v>778.16444999999999</v>
      </c>
      <c r="S52" s="108">
        <v>49608</v>
      </c>
      <c r="T52" s="108">
        <v>17392.466950000002</v>
      </c>
      <c r="U52" s="108">
        <v>87572.35834999998</v>
      </c>
      <c r="V52" s="108">
        <v>13465.594500000001</v>
      </c>
      <c r="W52" s="108">
        <v>6527.5101599999998</v>
      </c>
      <c r="X52" s="108">
        <v>1516.8</v>
      </c>
      <c r="Y52" s="108">
        <v>45089.817499999997</v>
      </c>
      <c r="Z52" s="108">
        <v>10146.78376</v>
      </c>
      <c r="AA52" s="108">
        <v>9966.5808399999987</v>
      </c>
      <c r="AB52" s="108">
        <v>22696</v>
      </c>
      <c r="AC52" s="108">
        <v>8322.9577399999998</v>
      </c>
      <c r="AD52" s="108">
        <v>86100.850650000008</v>
      </c>
      <c r="AE52" s="108">
        <v>4832.9813099999992</v>
      </c>
      <c r="AF52" s="108">
        <v>7496.423310000001</v>
      </c>
      <c r="AG52" s="182">
        <v>1992.5</v>
      </c>
      <c r="AH52" s="185"/>
      <c r="AI52" s="186"/>
    </row>
    <row r="53" spans="2:35" x14ac:dyDescent="0.25">
      <c r="B53" s="123">
        <f t="shared" si="9"/>
        <v>42947</v>
      </c>
      <c r="C53" s="111">
        <v>39351.397679999995</v>
      </c>
      <c r="D53" s="111">
        <v>919.34044999999992</v>
      </c>
      <c r="E53" s="111">
        <v>79243.593400000012</v>
      </c>
      <c r="F53" s="111">
        <v>4191.8755199999996</v>
      </c>
      <c r="G53" s="111">
        <v>30453.853179999998</v>
      </c>
      <c r="H53" s="111">
        <v>7414.9646000000002</v>
      </c>
      <c r="I53" s="111">
        <v>71955.59083999999</v>
      </c>
      <c r="J53" s="111">
        <v>6771.8930499999997</v>
      </c>
      <c r="K53" s="111">
        <v>83594.191199999987</v>
      </c>
      <c r="L53" s="111">
        <v>10317.16656</v>
      </c>
      <c r="M53" s="111">
        <v>25172.18075</v>
      </c>
      <c r="N53" s="111">
        <v>0</v>
      </c>
      <c r="O53" s="111">
        <v>3094.8440000000001</v>
      </c>
      <c r="P53" s="111">
        <v>142.655</v>
      </c>
      <c r="Q53" s="112" t="s">
        <v>168</v>
      </c>
      <c r="R53" s="111">
        <v>4146.4838699999991</v>
      </c>
      <c r="S53" s="111">
        <v>4821.6000000000004</v>
      </c>
      <c r="T53" s="111">
        <v>38396.243209999993</v>
      </c>
      <c r="U53" s="111">
        <v>76809.727079999997</v>
      </c>
      <c r="V53" s="111">
        <v>11908.875180000001</v>
      </c>
      <c r="W53" s="111">
        <v>6468.7285000000002</v>
      </c>
      <c r="X53" s="111">
        <v>3723.75</v>
      </c>
      <c r="Y53" s="111">
        <v>26108.045140000002</v>
      </c>
      <c r="Z53" s="111">
        <v>0</v>
      </c>
      <c r="AA53" s="111">
        <v>1051.12806</v>
      </c>
      <c r="AB53" s="111">
        <v>14561.618060000001</v>
      </c>
      <c r="AC53" s="111">
        <v>24335.611600000004</v>
      </c>
      <c r="AD53" s="111">
        <v>78920.691380000004</v>
      </c>
      <c r="AE53" s="111">
        <v>5731.024199999998</v>
      </c>
      <c r="AF53" s="91">
        <v>4411.1232599999994</v>
      </c>
      <c r="AG53" s="180">
        <v>300</v>
      </c>
      <c r="AH53" s="185"/>
      <c r="AI53" s="186"/>
    </row>
    <row r="54" spans="2:35" x14ac:dyDescent="0.25">
      <c r="B54" s="123">
        <f t="shared" si="9"/>
        <v>42978</v>
      </c>
      <c r="C54" s="111">
        <v>3298.6179999999999</v>
      </c>
      <c r="D54" s="111">
        <v>637.59857999999997</v>
      </c>
      <c r="E54" s="111">
        <v>30538.440849999999</v>
      </c>
      <c r="F54" s="111">
        <v>159.51732000000001</v>
      </c>
      <c r="G54" s="111">
        <v>27108.573100000001</v>
      </c>
      <c r="H54" s="111">
        <v>2496.7219499999997</v>
      </c>
      <c r="I54" s="111">
        <v>25893.263400000003</v>
      </c>
      <c r="J54" s="111">
        <v>1830.6970000000001</v>
      </c>
      <c r="K54" s="111">
        <v>97185.627299999993</v>
      </c>
      <c r="L54" s="111">
        <v>1648.4848499999998</v>
      </c>
      <c r="M54" s="111">
        <v>17766.904499999997</v>
      </c>
      <c r="N54" s="111">
        <v>199.899</v>
      </c>
      <c r="O54" s="111">
        <v>5228.7599999999993</v>
      </c>
      <c r="P54" s="111">
        <v>60.693750000000001</v>
      </c>
      <c r="Q54" s="112" t="s">
        <v>168</v>
      </c>
      <c r="R54" s="111">
        <v>355.76319999999998</v>
      </c>
      <c r="S54" s="111">
        <v>9489</v>
      </c>
      <c r="T54" s="111">
        <v>19178.449700000001</v>
      </c>
      <c r="U54" s="111">
        <v>77126.375100000019</v>
      </c>
      <c r="V54" s="111">
        <v>5116.7530999999999</v>
      </c>
      <c r="W54" s="111">
        <v>3447.0969999999998</v>
      </c>
      <c r="X54" s="111">
        <v>17.190000000000001</v>
      </c>
      <c r="Y54" s="111">
        <v>8489</v>
      </c>
      <c r="Z54" s="111">
        <v>0</v>
      </c>
      <c r="AA54" s="111">
        <v>3182.8539999999998</v>
      </c>
      <c r="AB54" s="111">
        <v>22204</v>
      </c>
      <c r="AC54" s="111">
        <v>1852.3328000000001</v>
      </c>
      <c r="AD54" s="111">
        <v>77586.886100000018</v>
      </c>
      <c r="AE54" s="111">
        <v>30.241000000000003</v>
      </c>
      <c r="AF54" s="111">
        <v>17.202000000000002</v>
      </c>
      <c r="AG54" s="181">
        <v>0</v>
      </c>
      <c r="AH54" s="185"/>
      <c r="AI54" s="186"/>
    </row>
    <row r="55" spans="2:35" ht="15.75" thickBot="1" x14ac:dyDescent="0.3">
      <c r="B55" s="123">
        <f t="shared" si="9"/>
        <v>43008</v>
      </c>
      <c r="C55" s="108">
        <v>703.11149999999998</v>
      </c>
      <c r="D55" s="108">
        <v>103.46275</v>
      </c>
      <c r="E55" s="108">
        <v>75</v>
      </c>
      <c r="F55" s="108">
        <v>842.02481999999998</v>
      </c>
      <c r="G55" s="108">
        <v>41373.334080000001</v>
      </c>
      <c r="H55" s="108">
        <v>3368.1629999999996</v>
      </c>
      <c r="I55" s="108">
        <v>11167.891629999998</v>
      </c>
      <c r="J55" s="108">
        <v>1901.3123499999999</v>
      </c>
      <c r="K55" s="108">
        <v>15329.57424</v>
      </c>
      <c r="L55" s="108">
        <v>3498.20892</v>
      </c>
      <c r="M55" s="108">
        <v>0</v>
      </c>
      <c r="N55" s="108">
        <v>193.91400000000002</v>
      </c>
      <c r="O55" s="108">
        <v>4651.2</v>
      </c>
      <c r="P55" s="108">
        <v>236.3</v>
      </c>
      <c r="Q55" s="109" t="s">
        <v>168</v>
      </c>
      <c r="R55" s="108">
        <v>1360.64582</v>
      </c>
      <c r="S55" s="108">
        <v>27635</v>
      </c>
      <c r="T55" s="108">
        <v>3787.7253499999997</v>
      </c>
      <c r="U55" s="108">
        <v>11033.754010000001</v>
      </c>
      <c r="V55" s="108">
        <v>1109.6707299999998</v>
      </c>
      <c r="W55" s="108">
        <v>1169.3</v>
      </c>
      <c r="X55" s="108">
        <v>0</v>
      </c>
      <c r="Y55" s="108">
        <v>23397.392240000001</v>
      </c>
      <c r="Z55" s="108">
        <v>43916</v>
      </c>
      <c r="AA55" s="108">
        <v>82466.104500000001</v>
      </c>
      <c r="AB55" s="108">
        <v>35400.894560000001</v>
      </c>
      <c r="AC55" s="108">
        <v>80.428449999999998</v>
      </c>
      <c r="AD55" s="108">
        <v>8804.9499500000002</v>
      </c>
      <c r="AE55" s="108">
        <v>348.47230999999999</v>
      </c>
      <c r="AF55" s="108">
        <v>12.675599999999999</v>
      </c>
      <c r="AG55" s="182">
        <v>0</v>
      </c>
      <c r="AH55" s="185"/>
      <c r="AI55" s="186"/>
    </row>
    <row r="56" spans="2:35" x14ac:dyDescent="0.25">
      <c r="B56" s="123">
        <f t="shared" si="9"/>
        <v>43039</v>
      </c>
      <c r="C56" s="114">
        <v>205299.24100000001</v>
      </c>
      <c r="D56" s="114">
        <v>353.24250000000001</v>
      </c>
      <c r="E56" s="114">
        <v>50</v>
      </c>
      <c r="F56" s="114">
        <v>2913.0251600000001</v>
      </c>
      <c r="G56" s="114">
        <v>449744.86807999999</v>
      </c>
      <c r="H56" s="114">
        <v>2229.8874999999998</v>
      </c>
      <c r="I56" s="114">
        <v>32663.981899999999</v>
      </c>
      <c r="J56" s="114">
        <v>4801.173600000001</v>
      </c>
      <c r="K56" s="114">
        <v>79363.762200000026</v>
      </c>
      <c r="L56" s="114">
        <v>6984.8457700000008</v>
      </c>
      <c r="M56" s="114">
        <v>8034.25468</v>
      </c>
      <c r="N56" s="114">
        <v>260.04825</v>
      </c>
      <c r="O56" s="114">
        <v>18648.059599999997</v>
      </c>
      <c r="P56" s="114">
        <v>619.65750000000003</v>
      </c>
      <c r="Q56" s="115" t="s">
        <v>168</v>
      </c>
      <c r="R56" s="114">
        <v>1792.4651199999998</v>
      </c>
      <c r="S56" s="114">
        <v>129452.485</v>
      </c>
      <c r="T56" s="114">
        <v>52451.278960000018</v>
      </c>
      <c r="U56" s="114">
        <v>110321.55324000004</v>
      </c>
      <c r="V56" s="114">
        <v>4876.4503599999998</v>
      </c>
      <c r="W56" s="114">
        <v>7846.6957999999995</v>
      </c>
      <c r="X56" s="114">
        <v>42516.908200000005</v>
      </c>
      <c r="Y56" s="114">
        <v>107344.37819</v>
      </c>
      <c r="Z56" s="114">
        <v>106804</v>
      </c>
      <c r="AA56" s="114">
        <v>172986.84899999999</v>
      </c>
      <c r="AB56" s="114">
        <v>177113.89455999999</v>
      </c>
      <c r="AC56" s="114">
        <v>1246.3989000000001</v>
      </c>
      <c r="AD56" s="114">
        <v>92136.046480000019</v>
      </c>
      <c r="AE56" s="114">
        <v>2233.9746199999995</v>
      </c>
      <c r="AF56" s="91">
        <v>34.744600000000005</v>
      </c>
      <c r="AG56" s="180">
        <v>0</v>
      </c>
      <c r="AH56" s="185"/>
      <c r="AI56" s="186"/>
    </row>
    <row r="57" spans="2:35" x14ac:dyDescent="0.25">
      <c r="B57" s="123">
        <f t="shared" si="9"/>
        <v>43069</v>
      </c>
      <c r="C57" s="111">
        <v>54.961600000000018</v>
      </c>
      <c r="D57" s="111">
        <v>115.61275000000001</v>
      </c>
      <c r="E57" s="111">
        <v>25</v>
      </c>
      <c r="F57" s="111">
        <v>3118.93271</v>
      </c>
      <c r="G57" s="111">
        <v>541083.85</v>
      </c>
      <c r="H57" s="111">
        <v>4738.7875599999998</v>
      </c>
      <c r="I57" s="111">
        <v>30456.459649999997</v>
      </c>
      <c r="J57" s="111">
        <v>1174.95982</v>
      </c>
      <c r="K57" s="111">
        <v>60534.281940000001</v>
      </c>
      <c r="L57" s="111">
        <v>4709.8768</v>
      </c>
      <c r="M57" s="111">
        <v>19945.444459999999</v>
      </c>
      <c r="N57" s="111">
        <v>637.65480000000002</v>
      </c>
      <c r="O57" s="111">
        <v>12366.4889</v>
      </c>
      <c r="P57" s="111">
        <v>516.57000000000005</v>
      </c>
      <c r="Q57" s="112" t="s">
        <v>168</v>
      </c>
      <c r="R57" s="111">
        <v>1103.1380799999999</v>
      </c>
      <c r="S57" s="111">
        <v>163393</v>
      </c>
      <c r="T57" s="111">
        <v>5903.6039899999996</v>
      </c>
      <c r="U57" s="111">
        <v>48271.570629999995</v>
      </c>
      <c r="V57" s="111">
        <v>4379.5582600000007</v>
      </c>
      <c r="W57" s="111">
        <v>5528.9175000000005</v>
      </c>
      <c r="X57" s="111">
        <v>65449.919999999998</v>
      </c>
      <c r="Y57" s="111">
        <v>112573.5</v>
      </c>
      <c r="Z57" s="111">
        <v>169332</v>
      </c>
      <c r="AA57" s="111">
        <v>230478</v>
      </c>
      <c r="AB57" s="111">
        <v>224892.66099999999</v>
      </c>
      <c r="AC57" s="111">
        <v>1040.6840999999999</v>
      </c>
      <c r="AD57" s="111">
        <v>46441.429790000009</v>
      </c>
      <c r="AE57" s="111">
        <v>358.93779999999998</v>
      </c>
      <c r="AF57" s="111">
        <v>200.78559999999999</v>
      </c>
      <c r="AG57" s="181">
        <v>0</v>
      </c>
      <c r="AH57" s="185"/>
      <c r="AI57" s="186"/>
    </row>
    <row r="58" spans="2:35" ht="15.75" thickBot="1" x14ac:dyDescent="0.3">
      <c r="B58" s="123">
        <f t="shared" si="9"/>
        <v>43100</v>
      </c>
      <c r="C58" s="108">
        <v>1025.2542000000001</v>
      </c>
      <c r="D58" s="108">
        <v>22176.351979999996</v>
      </c>
      <c r="E58" s="108">
        <v>0</v>
      </c>
      <c r="F58" s="108">
        <v>2502.7433600000004</v>
      </c>
      <c r="G58" s="108">
        <v>472773.99215000001</v>
      </c>
      <c r="H58" s="108">
        <v>10661.858039999999</v>
      </c>
      <c r="I58" s="108">
        <v>10689.3778</v>
      </c>
      <c r="J58" s="108">
        <v>3076.8866800000001</v>
      </c>
      <c r="K58" s="108">
        <v>71973.572120000012</v>
      </c>
      <c r="L58" s="108">
        <v>2338.8200600000005</v>
      </c>
      <c r="M58" s="108" t="s">
        <v>174</v>
      </c>
      <c r="N58" s="108">
        <v>0</v>
      </c>
      <c r="O58" s="108">
        <v>24637.636709999999</v>
      </c>
      <c r="P58" s="108">
        <v>148.69999999999999</v>
      </c>
      <c r="Q58" s="109" t="s">
        <v>168</v>
      </c>
      <c r="R58" s="108">
        <v>436.40440000000001</v>
      </c>
      <c r="S58" s="108">
        <v>159642</v>
      </c>
      <c r="T58" s="108">
        <v>5680.2000800000005</v>
      </c>
      <c r="U58" s="108">
        <v>39537.59145</v>
      </c>
      <c r="V58" s="108">
        <v>8511.5566999999992</v>
      </c>
      <c r="W58" s="108">
        <v>10762.2075</v>
      </c>
      <c r="X58" s="108">
        <v>52297.999999999993</v>
      </c>
      <c r="Y58" s="108">
        <v>86784.5</v>
      </c>
      <c r="Z58" s="108">
        <v>182868</v>
      </c>
      <c r="AA58" s="108">
        <v>171414.66821999999</v>
      </c>
      <c r="AB58" s="108">
        <v>197374</v>
      </c>
      <c r="AC58" s="108">
        <v>2733.8825000000002</v>
      </c>
      <c r="AD58" s="108">
        <v>85726.218649999995</v>
      </c>
      <c r="AE58" s="108">
        <v>6173.9646599999996</v>
      </c>
      <c r="AF58" s="108">
        <v>284.72461999999996</v>
      </c>
      <c r="AG58" s="182">
        <v>0</v>
      </c>
      <c r="AH58" s="185"/>
      <c r="AI58" s="186"/>
    </row>
    <row r="59" spans="2:35" x14ac:dyDescent="0.25">
      <c r="B59" s="123">
        <f t="shared" si="9"/>
        <v>43131</v>
      </c>
      <c r="C59" s="114">
        <v>4481.7387399999998</v>
      </c>
      <c r="D59" s="114">
        <v>569.57590000000005</v>
      </c>
      <c r="E59" s="114">
        <v>1612.296</v>
      </c>
      <c r="F59" s="114">
        <v>3371.9772899999998</v>
      </c>
      <c r="G59" s="114">
        <v>438040.67968</v>
      </c>
      <c r="H59" s="114">
        <v>5986.7633999999998</v>
      </c>
      <c r="I59" s="114">
        <v>43955.296180000005</v>
      </c>
      <c r="J59" s="114">
        <v>5233.8929999999991</v>
      </c>
      <c r="K59" s="114">
        <v>28440.048799999997</v>
      </c>
      <c r="L59" s="114">
        <v>5438.1084999999975</v>
      </c>
      <c r="M59" s="114">
        <v>15085.154159999998</v>
      </c>
      <c r="N59" s="114">
        <v>152.61750000000029</v>
      </c>
      <c r="O59" s="114">
        <v>2712.2654599999996</v>
      </c>
      <c r="P59" s="114">
        <v>383.75200000000007</v>
      </c>
      <c r="Q59" s="115" t="s">
        <v>168</v>
      </c>
      <c r="R59" s="114">
        <v>331.68299999999999</v>
      </c>
      <c r="S59" s="114">
        <v>147833.20000000001</v>
      </c>
      <c r="T59" s="114">
        <v>17613.31106</v>
      </c>
      <c r="U59" s="114">
        <v>23504.85052</v>
      </c>
      <c r="V59" s="114">
        <v>4688.9642000000013</v>
      </c>
      <c r="W59" s="114">
        <v>9457.0639599999995</v>
      </c>
      <c r="X59" s="114">
        <v>47381.039999999994</v>
      </c>
      <c r="Y59" s="114">
        <v>87421.847999999998</v>
      </c>
      <c r="Z59" s="114">
        <v>76568</v>
      </c>
      <c r="AA59" s="114">
        <v>154572.27565999998</v>
      </c>
      <c r="AB59" s="114">
        <v>132080.30556000001</v>
      </c>
      <c r="AC59" s="114">
        <v>4784.3590999999997</v>
      </c>
      <c r="AD59" s="114">
        <v>23430.289880000004</v>
      </c>
      <c r="AE59" s="114">
        <v>1145.28865</v>
      </c>
      <c r="AF59" s="91">
        <v>835.20607999999993</v>
      </c>
      <c r="AG59" s="180">
        <v>0</v>
      </c>
      <c r="AH59" s="185"/>
      <c r="AI59" s="186"/>
    </row>
    <row r="60" spans="2:35" x14ac:dyDescent="0.25">
      <c r="B60" s="123">
        <f t="shared" si="9"/>
        <v>43159</v>
      </c>
      <c r="C60" s="111">
        <v>59476.542440000005</v>
      </c>
      <c r="D60" s="111">
        <v>17182.99468</v>
      </c>
      <c r="E60" s="111">
        <v>1706.5</v>
      </c>
      <c r="F60" s="111">
        <v>15489.12057000001</v>
      </c>
      <c r="G60" s="111">
        <v>454189.59805000003</v>
      </c>
      <c r="H60" s="111">
        <v>7376.0789000000004</v>
      </c>
      <c r="I60" s="111">
        <v>75088.024400000009</v>
      </c>
      <c r="J60" s="111">
        <v>12662.5996</v>
      </c>
      <c r="K60" s="111">
        <v>235326.89414999995</v>
      </c>
      <c r="L60" s="111">
        <v>11059.70206</v>
      </c>
      <c r="M60" s="111">
        <v>17435.471700000002</v>
      </c>
      <c r="N60" s="111">
        <v>0</v>
      </c>
      <c r="O60" s="111">
        <v>5360.3472500000007</v>
      </c>
      <c r="P60" s="111">
        <v>989.97199999999998</v>
      </c>
      <c r="Q60" s="112" t="s">
        <v>168</v>
      </c>
      <c r="R60" s="111">
        <v>1064.7950000000001</v>
      </c>
      <c r="S60" s="111">
        <v>136463</v>
      </c>
      <c r="T60" s="111">
        <v>55992.074749999985</v>
      </c>
      <c r="U60" s="111">
        <v>150774.86235000001</v>
      </c>
      <c r="V60" s="111">
        <v>9358.5942500000001</v>
      </c>
      <c r="W60" s="111">
        <v>15931.366910000001</v>
      </c>
      <c r="X60" s="111">
        <v>43284.39</v>
      </c>
      <c r="Y60" s="111">
        <v>87064.498500000002</v>
      </c>
      <c r="Z60" s="111">
        <v>142047.04876000001</v>
      </c>
      <c r="AA60" s="111">
        <v>141777.81479</v>
      </c>
      <c r="AB60" s="111">
        <v>129293.75</v>
      </c>
      <c r="AC60" s="111">
        <v>5280.9278400000003</v>
      </c>
      <c r="AD60" s="111">
        <v>132681.32605000003</v>
      </c>
      <c r="AE60" s="111">
        <v>4480.133960000001</v>
      </c>
      <c r="AF60" s="111">
        <v>6738.0530599999993</v>
      </c>
      <c r="AG60" s="181">
        <v>968.5</v>
      </c>
      <c r="AH60" s="185"/>
      <c r="AI60" s="186"/>
    </row>
    <row r="61" spans="2:35" ht="15.75" thickBot="1" x14ac:dyDescent="0.3">
      <c r="B61" s="123">
        <f t="shared" si="9"/>
        <v>43190</v>
      </c>
      <c r="C61" s="108">
        <v>50579.285919999995</v>
      </c>
      <c r="D61" s="108">
        <v>24310.732099999997</v>
      </c>
      <c r="E61" s="108">
        <v>15011.539799999999</v>
      </c>
      <c r="F61" s="108">
        <v>4787.32485</v>
      </c>
      <c r="G61" s="108">
        <v>287066.5148</v>
      </c>
      <c r="H61" s="108">
        <v>8946.1154000000006</v>
      </c>
      <c r="I61" s="108">
        <v>96401.690199999983</v>
      </c>
      <c r="J61" s="108">
        <v>10478.525700000002</v>
      </c>
      <c r="K61" s="108">
        <v>214234.9632</v>
      </c>
      <c r="L61" s="108">
        <v>14487.27303</v>
      </c>
      <c r="M61" s="108">
        <v>15624.747529999999</v>
      </c>
      <c r="N61" s="108">
        <v>302.24250000000001</v>
      </c>
      <c r="O61" s="108">
        <v>2261.6408000000001</v>
      </c>
      <c r="P61" s="108">
        <v>1366.9275</v>
      </c>
      <c r="Q61" s="109" t="s">
        <v>168</v>
      </c>
      <c r="R61" s="108">
        <v>1910.5408600000001</v>
      </c>
      <c r="S61" s="108">
        <v>98032</v>
      </c>
      <c r="T61" s="108">
        <v>42042.331479999993</v>
      </c>
      <c r="U61" s="108">
        <v>157585.63090000005</v>
      </c>
      <c r="V61" s="108">
        <v>26749.518189999999</v>
      </c>
      <c r="W61" s="108">
        <v>13870.726360000004</v>
      </c>
      <c r="X61" s="108">
        <v>12608.4</v>
      </c>
      <c r="Y61" s="108">
        <v>70734.50056</v>
      </c>
      <c r="Z61" s="108">
        <v>90891.479659999997</v>
      </c>
      <c r="AA61" s="108">
        <v>78656.542000000001</v>
      </c>
      <c r="AB61" s="108">
        <v>207857.04149999999</v>
      </c>
      <c r="AC61" s="108">
        <v>5716.9115600000005</v>
      </c>
      <c r="AD61" s="108">
        <v>167617.75590000002</v>
      </c>
      <c r="AE61" s="108">
        <v>9733.2693100000015</v>
      </c>
      <c r="AF61" s="108">
        <v>4754.2614999999996</v>
      </c>
      <c r="AG61" s="182">
        <v>1772.3</v>
      </c>
      <c r="AH61" s="185"/>
      <c r="AI61" s="186"/>
    </row>
    <row r="62" spans="2:35" x14ac:dyDescent="0.25">
      <c r="B62" s="123">
        <f t="shared" si="9"/>
        <v>43220</v>
      </c>
      <c r="C62" s="114">
        <v>4993.6290999999992</v>
      </c>
      <c r="D62" s="114">
        <v>929.26144999999997</v>
      </c>
      <c r="E62" s="114">
        <v>16733.965500000002</v>
      </c>
      <c r="F62" s="114">
        <v>7169.968859999999</v>
      </c>
      <c r="G62" s="114">
        <v>349139.52648</v>
      </c>
      <c r="H62" s="114">
        <v>7053.1778000000004</v>
      </c>
      <c r="I62" s="114">
        <v>68719.636050000001</v>
      </c>
      <c r="J62" s="114">
        <v>6611.1976500000001</v>
      </c>
      <c r="K62" s="114">
        <v>133371.40459999998</v>
      </c>
      <c r="L62" s="114">
        <v>6317.7964000000002</v>
      </c>
      <c r="M62" s="114">
        <v>7728.0239099999999</v>
      </c>
      <c r="N62" s="114">
        <v>-1318.7637</v>
      </c>
      <c r="O62" s="114">
        <v>16640.326160000001</v>
      </c>
      <c r="P62" s="114">
        <v>523.02</v>
      </c>
      <c r="Q62" s="115" t="s">
        <v>168</v>
      </c>
      <c r="R62" s="114">
        <v>2750.5373599999998</v>
      </c>
      <c r="S62" s="114">
        <v>81341.600000000006</v>
      </c>
      <c r="T62" s="114">
        <v>40978.835809999997</v>
      </c>
      <c r="U62" s="114">
        <v>164017.96823</v>
      </c>
      <c r="V62" s="114">
        <v>4407.7156999999988</v>
      </c>
      <c r="W62" s="114">
        <v>8176.4472000000005</v>
      </c>
      <c r="X62" s="114">
        <v>14163.682000000003</v>
      </c>
      <c r="Y62" s="114">
        <v>45809.0795</v>
      </c>
      <c r="Z62" s="114">
        <v>136984</v>
      </c>
      <c r="AA62" s="114">
        <v>126426.32206000001</v>
      </c>
      <c r="AB62" s="114">
        <v>264533.59856000001</v>
      </c>
      <c r="AC62" s="114">
        <v>9171.1072399999975</v>
      </c>
      <c r="AD62" s="114">
        <v>164001.42403000002</v>
      </c>
      <c r="AE62" s="114">
        <v>1372.4259</v>
      </c>
      <c r="AF62" s="91">
        <v>383.72025999999994</v>
      </c>
      <c r="AG62" s="180">
        <v>0</v>
      </c>
      <c r="AH62" s="185"/>
      <c r="AI62" s="186"/>
    </row>
    <row r="63" spans="2:35" x14ac:dyDescent="0.25">
      <c r="B63" s="123">
        <f t="shared" si="9"/>
        <v>43251</v>
      </c>
      <c r="C63" s="111">
        <v>692.71910000000003</v>
      </c>
      <c r="D63" s="111">
        <v>7510.0019400000019</v>
      </c>
      <c r="E63" s="111">
        <v>34398.374800000005</v>
      </c>
      <c r="F63" s="111">
        <v>6158.0225400000008</v>
      </c>
      <c r="G63" s="111">
        <v>212200.29916</v>
      </c>
      <c r="H63" s="111">
        <v>10452.4018</v>
      </c>
      <c r="I63" s="111">
        <v>86488.463219999991</v>
      </c>
      <c r="J63" s="111">
        <v>12608.29413</v>
      </c>
      <c r="K63" s="111">
        <v>169728.16179999994</v>
      </c>
      <c r="L63" s="111">
        <v>5737.6012000000001</v>
      </c>
      <c r="M63" s="111">
        <v>518.77530000000002</v>
      </c>
      <c r="N63" s="111">
        <v>449.625</v>
      </c>
      <c r="O63" s="111">
        <v>8473.5522000000001</v>
      </c>
      <c r="P63" s="111">
        <v>858.7650000000001</v>
      </c>
      <c r="Q63" s="112" t="s">
        <v>168</v>
      </c>
      <c r="R63" s="111">
        <v>2447.0412200000001</v>
      </c>
      <c r="S63" s="111">
        <v>46941</v>
      </c>
      <c r="T63" s="111">
        <v>30238.926619999998</v>
      </c>
      <c r="U63" s="111">
        <v>118464.65004000002</v>
      </c>
      <c r="V63" s="111">
        <v>11975.13206</v>
      </c>
      <c r="W63" s="111">
        <v>12389.371810000001</v>
      </c>
      <c r="X63" s="111">
        <v>12671.600000000002</v>
      </c>
      <c r="Y63" s="111">
        <v>20514.157080000001</v>
      </c>
      <c r="Z63" s="111">
        <v>70782.479659999997</v>
      </c>
      <c r="AA63" s="111">
        <v>106400.34455000001</v>
      </c>
      <c r="AB63" s="111">
        <v>144763.09992000001</v>
      </c>
      <c r="AC63" s="111">
        <v>1100.34629</v>
      </c>
      <c r="AD63" s="111">
        <v>71649.836660000001</v>
      </c>
      <c r="AE63" s="111">
        <v>6514.4418800000003</v>
      </c>
      <c r="AF63" s="111">
        <v>205.27137000000002</v>
      </c>
      <c r="AG63" s="181">
        <v>0</v>
      </c>
      <c r="AH63" s="185"/>
      <c r="AI63" s="186"/>
    </row>
    <row r="64" spans="2:35" ht="15.75" thickBot="1" x14ac:dyDescent="0.3">
      <c r="B64" s="123">
        <f t="shared" si="9"/>
        <v>43281</v>
      </c>
      <c r="C64" s="108">
        <v>31538.634600000001</v>
      </c>
      <c r="D64" s="108">
        <v>803.27015999999992</v>
      </c>
      <c r="E64" s="108">
        <v>70828.963099999994</v>
      </c>
      <c r="F64" s="108">
        <v>4991.8966499999997</v>
      </c>
      <c r="G64" s="108">
        <v>31883.480599999995</v>
      </c>
      <c r="H64" s="108">
        <v>2510.2282</v>
      </c>
      <c r="I64" s="108">
        <v>58026.80717</v>
      </c>
      <c r="J64" s="108">
        <v>6497.3402499999993</v>
      </c>
      <c r="K64" s="108">
        <v>100281.42444</v>
      </c>
      <c r="L64" s="108">
        <v>12279.76686</v>
      </c>
      <c r="M64" s="108">
        <v>10820.55</v>
      </c>
      <c r="N64" s="108">
        <v>63.441000000000003</v>
      </c>
      <c r="O64" s="108">
        <v>6916.8701000000001</v>
      </c>
      <c r="P64" s="108">
        <v>1038.4574999999998</v>
      </c>
      <c r="Q64" s="109" t="s">
        <v>168</v>
      </c>
      <c r="R64" s="108">
        <v>2017.0038000000002</v>
      </c>
      <c r="S64" s="108">
        <v>7401</v>
      </c>
      <c r="T64" s="108">
        <v>31523.340939999998</v>
      </c>
      <c r="U64" s="108">
        <v>75408.765339999998</v>
      </c>
      <c r="V64" s="108">
        <v>5361.3087000000005</v>
      </c>
      <c r="W64" s="108">
        <v>5542.9663</v>
      </c>
      <c r="X64" s="108">
        <v>1516.8</v>
      </c>
      <c r="Y64" s="108">
        <v>21508.9944</v>
      </c>
      <c r="Z64" s="108">
        <v>0</v>
      </c>
      <c r="AA64" s="108">
        <v>8430.967560000001</v>
      </c>
      <c r="AB64" s="108">
        <v>16640</v>
      </c>
      <c r="AC64" s="108">
        <v>10440.412070000002</v>
      </c>
      <c r="AD64" s="108">
        <v>66618.392219999994</v>
      </c>
      <c r="AE64" s="108">
        <v>4803.2858200000001</v>
      </c>
      <c r="AF64" s="108">
        <v>644.01135999999997</v>
      </c>
      <c r="AG64" s="182">
        <v>0</v>
      </c>
      <c r="AH64" s="185"/>
      <c r="AI64" s="186"/>
    </row>
    <row r="65" spans="2:35" x14ac:dyDescent="0.25">
      <c r="B65" s="123">
        <f t="shared" si="9"/>
        <v>43312</v>
      </c>
      <c r="C65" s="111">
        <v>8736.5953000000009</v>
      </c>
      <c r="D65" s="111">
        <v>745.13857999999993</v>
      </c>
      <c r="E65" s="111">
        <v>110898.4688</v>
      </c>
      <c r="F65" s="111">
        <v>1500.4429599999999</v>
      </c>
      <c r="G65" s="111">
        <v>15230.0476</v>
      </c>
      <c r="H65" s="111">
        <v>2791.5537999999997</v>
      </c>
      <c r="I65" s="111">
        <v>52585.131119999984</v>
      </c>
      <c r="J65" s="111">
        <v>3044.6792999999998</v>
      </c>
      <c r="K65" s="111">
        <v>93804.399600000004</v>
      </c>
      <c r="L65" s="111">
        <v>8353.3395999999993</v>
      </c>
      <c r="M65" s="111">
        <v>0</v>
      </c>
      <c r="N65" s="111">
        <v>511.4205</v>
      </c>
      <c r="O65" s="111">
        <v>5053.7439999999997</v>
      </c>
      <c r="P65" s="111">
        <v>1565.58</v>
      </c>
      <c r="Q65" s="112" t="s">
        <v>168</v>
      </c>
      <c r="R65" s="111">
        <v>1563.626</v>
      </c>
      <c r="S65" s="111">
        <v>12554.455399999999</v>
      </c>
      <c r="T65" s="111">
        <v>19467.366300000002</v>
      </c>
      <c r="U65" s="111">
        <v>69078.580900000001</v>
      </c>
      <c r="V65" s="111">
        <v>7550.3179500000015</v>
      </c>
      <c r="W65" s="111">
        <v>3231.848</v>
      </c>
      <c r="X65" s="111">
        <v>6730.8</v>
      </c>
      <c r="Y65" s="111">
        <v>7744.6157600000006</v>
      </c>
      <c r="Z65" s="111">
        <v>0</v>
      </c>
      <c r="AA65" s="111">
        <v>5299.3339999999998</v>
      </c>
      <c r="AB65" s="111">
        <v>23400.839909999999</v>
      </c>
      <c r="AC65" s="111">
        <v>24913.60515000001</v>
      </c>
      <c r="AD65" s="111">
        <v>115023.43040000001</v>
      </c>
      <c r="AE65" s="111">
        <v>3098.3985500000003</v>
      </c>
      <c r="AF65" s="91">
        <v>1145.9644000000001</v>
      </c>
      <c r="AG65" s="180">
        <v>0</v>
      </c>
      <c r="AH65" s="185"/>
      <c r="AI65" s="186"/>
    </row>
    <row r="66" spans="2:35" x14ac:dyDescent="0.25">
      <c r="B66" s="123">
        <f t="shared" si="9"/>
        <v>43343</v>
      </c>
      <c r="C66" s="111">
        <v>6563.2491</v>
      </c>
      <c r="D66" s="111">
        <v>245.85000000000002</v>
      </c>
      <c r="E66" s="111">
        <v>90</v>
      </c>
      <c r="F66" s="111">
        <v>636.37407000000007</v>
      </c>
      <c r="G66" s="111">
        <v>4758</v>
      </c>
      <c r="H66" s="111">
        <v>383.43</v>
      </c>
      <c r="I66" s="111">
        <v>23882.943719999999</v>
      </c>
      <c r="J66" s="111">
        <v>2260.7019999999998</v>
      </c>
      <c r="K66" s="111">
        <v>122061.54115999998</v>
      </c>
      <c r="L66" s="111">
        <v>1883.8816999999995</v>
      </c>
      <c r="M66" s="111">
        <v>38.552999999999997</v>
      </c>
      <c r="N66" s="111">
        <v>0</v>
      </c>
      <c r="O66" s="111">
        <v>8340.8691999999992</v>
      </c>
      <c r="P66" s="111">
        <v>259.62</v>
      </c>
      <c r="Q66" s="111">
        <v>13750</v>
      </c>
      <c r="R66" s="111">
        <v>263.81790000000001</v>
      </c>
      <c r="S66" s="111">
        <v>30506.2</v>
      </c>
      <c r="T66" s="111">
        <v>18688.764999999999</v>
      </c>
      <c r="U66" s="111">
        <v>55325.565119999999</v>
      </c>
      <c r="V66" s="111">
        <v>3308.2661000000003</v>
      </c>
      <c r="W66" s="111">
        <v>1108.1917000000001</v>
      </c>
      <c r="X66" s="111">
        <v>0</v>
      </c>
      <c r="Y66" s="111">
        <v>6396</v>
      </c>
      <c r="Z66" s="111">
        <v>0</v>
      </c>
      <c r="AA66" s="111">
        <v>6479.7488599999997</v>
      </c>
      <c r="AB66" s="111">
        <v>63831.985000000001</v>
      </c>
      <c r="AC66" s="111">
        <v>1018.9805</v>
      </c>
      <c r="AD66" s="111">
        <v>75498.252660000013</v>
      </c>
      <c r="AE66" s="111">
        <v>1865.0622500000002</v>
      </c>
      <c r="AF66" s="111">
        <v>417.14006000000001</v>
      </c>
      <c r="AG66" s="181">
        <v>0</v>
      </c>
      <c r="AH66" s="185"/>
      <c r="AI66" s="186"/>
    </row>
    <row r="67" spans="2:35" ht="15.75" thickBot="1" x14ac:dyDescent="0.3">
      <c r="B67" s="123">
        <f t="shared" si="9"/>
        <v>43373</v>
      </c>
      <c r="C67" s="108">
        <v>12050.906000000001</v>
      </c>
      <c r="D67" s="108">
        <v>186.5985</v>
      </c>
      <c r="E67" s="108">
        <v>28</v>
      </c>
      <c r="F67" s="108">
        <v>343.86760000000004</v>
      </c>
      <c r="G67" s="108">
        <v>85676.59</v>
      </c>
      <c r="H67" s="108">
        <v>332</v>
      </c>
      <c r="I67" s="108">
        <v>31813.267800000009</v>
      </c>
      <c r="J67" s="108">
        <v>3254.1600000000003</v>
      </c>
      <c r="K67" s="108">
        <v>92430.914999999979</v>
      </c>
      <c r="L67" s="108">
        <v>6866.787049999999</v>
      </c>
      <c r="M67" s="108">
        <v>334.12139999999999</v>
      </c>
      <c r="N67" s="108">
        <v>150.822</v>
      </c>
      <c r="O67" s="108">
        <v>1468.8</v>
      </c>
      <c r="P67" s="108">
        <v>1895.7925</v>
      </c>
      <c r="Q67" s="109" t="s">
        <v>168</v>
      </c>
      <c r="R67" s="108">
        <v>881.99545000000001</v>
      </c>
      <c r="S67" s="108">
        <v>37249</v>
      </c>
      <c r="T67" s="108">
        <v>10476.644649999998</v>
      </c>
      <c r="U67" s="108">
        <v>68765.122250000015</v>
      </c>
      <c r="V67" s="108">
        <v>5463.9422200000008</v>
      </c>
      <c r="W67" s="108">
        <v>3009.348</v>
      </c>
      <c r="X67" s="108">
        <v>3779.6409999999996</v>
      </c>
      <c r="Y67" s="108">
        <v>37465.165399999998</v>
      </c>
      <c r="Z67" s="108">
        <v>50000</v>
      </c>
      <c r="AA67" s="108">
        <v>92195.400529999999</v>
      </c>
      <c r="AB67" s="108">
        <v>44358.310799999999</v>
      </c>
      <c r="AC67" s="108">
        <v>218.1275</v>
      </c>
      <c r="AD67" s="108">
        <v>83278.182550000012</v>
      </c>
      <c r="AE67" s="108">
        <v>608.32175999999993</v>
      </c>
      <c r="AF67" s="108">
        <v>56.153300000000002</v>
      </c>
      <c r="AG67" s="182">
        <v>0</v>
      </c>
      <c r="AH67" s="185"/>
      <c r="AI67" s="186"/>
    </row>
    <row r="68" spans="2:35" x14ac:dyDescent="0.25">
      <c r="B68" s="123">
        <f t="shared" si="9"/>
        <v>43404</v>
      </c>
      <c r="C68" s="114">
        <v>482.44600000000003</v>
      </c>
      <c r="D68" s="114">
        <v>244.76400000000001</v>
      </c>
      <c r="E68" s="114">
        <v>50</v>
      </c>
      <c r="F68" s="114">
        <v>3008.0086500000002</v>
      </c>
      <c r="G68" s="114">
        <v>485105.23800000001</v>
      </c>
      <c r="H68" s="114">
        <v>5948.24</v>
      </c>
      <c r="I68" s="114">
        <v>26366.281060000001</v>
      </c>
      <c r="J68" s="114">
        <v>11922.386349999999</v>
      </c>
      <c r="K68" s="114">
        <v>139051.25271999996</v>
      </c>
      <c r="L68" s="114">
        <v>980.24610999999993</v>
      </c>
      <c r="M68" s="114">
        <v>5427.7491600000003</v>
      </c>
      <c r="N68" s="114">
        <v>75.411000000000001</v>
      </c>
      <c r="O68" s="114">
        <v>23218.371199999998</v>
      </c>
      <c r="P68" s="114">
        <v>-26289.127500000002</v>
      </c>
      <c r="Q68" s="115" t="s">
        <v>168</v>
      </c>
      <c r="R68" s="114">
        <v>1691.1124499999999</v>
      </c>
      <c r="S68" s="114">
        <v>127193.4</v>
      </c>
      <c r="T68" s="114">
        <v>14829.3164</v>
      </c>
      <c r="U68" s="114">
        <v>107364.43316000002</v>
      </c>
      <c r="V68" s="114">
        <v>2772.0570199999997</v>
      </c>
      <c r="W68" s="114">
        <v>8629.4873999999982</v>
      </c>
      <c r="X68" s="114">
        <v>36557.435799999999</v>
      </c>
      <c r="Y68" s="114">
        <v>102094.8918</v>
      </c>
      <c r="Z68" s="114">
        <v>81029.463400000008</v>
      </c>
      <c r="AA68" s="114">
        <v>209563.40906000001</v>
      </c>
      <c r="AB68" s="114">
        <v>163815</v>
      </c>
      <c r="AC68" s="114">
        <v>877.98524999999995</v>
      </c>
      <c r="AD68" s="114">
        <v>99591.502920000014</v>
      </c>
      <c r="AE68" s="114">
        <v>876.23590999999999</v>
      </c>
      <c r="AF68" s="91">
        <v>186.68456</v>
      </c>
      <c r="AG68" s="180">
        <v>0</v>
      </c>
      <c r="AH68" s="185"/>
      <c r="AI68" s="186"/>
    </row>
    <row r="69" spans="2:35" x14ac:dyDescent="0.25">
      <c r="B69" s="123">
        <f t="shared" si="9"/>
        <v>43434</v>
      </c>
      <c r="C69" s="111">
        <v>0</v>
      </c>
      <c r="D69" s="111">
        <v>245.77959999999999</v>
      </c>
      <c r="E69" s="111">
        <v>0</v>
      </c>
      <c r="F69" s="111">
        <v>1914.4435000000001</v>
      </c>
      <c r="G69" s="111">
        <v>538928.58648000006</v>
      </c>
      <c r="H69" s="111">
        <v>4322.55</v>
      </c>
      <c r="I69" s="111">
        <v>20841.92568</v>
      </c>
      <c r="J69" s="111">
        <v>1518.4126000000001</v>
      </c>
      <c r="K69" s="111">
        <v>81963.464399999983</v>
      </c>
      <c r="L69" s="111">
        <v>3745.4215599999998</v>
      </c>
      <c r="M69" s="111">
        <v>6821.9852799999999</v>
      </c>
      <c r="N69" s="111">
        <v>-2349.1779999999999</v>
      </c>
      <c r="O69" s="111">
        <v>15064.171299999998</v>
      </c>
      <c r="P69" s="111">
        <v>1061.01</v>
      </c>
      <c r="Q69" s="112" t="s">
        <v>168</v>
      </c>
      <c r="R69" s="111">
        <v>1653.5467599999997</v>
      </c>
      <c r="S69" s="111">
        <v>161129</v>
      </c>
      <c r="T69" s="111">
        <v>12461.94392</v>
      </c>
      <c r="U69" s="111">
        <v>51094.174820000007</v>
      </c>
      <c r="V69" s="111">
        <v>3477.7017000000005</v>
      </c>
      <c r="W69" s="111">
        <v>4029.8312599999999</v>
      </c>
      <c r="X69" s="111">
        <v>46392.080999999998</v>
      </c>
      <c r="Y69" s="111">
        <v>116267.57029999999</v>
      </c>
      <c r="Z69" s="111">
        <v>154430.47966000001</v>
      </c>
      <c r="AA69" s="111">
        <v>248872.75099999999</v>
      </c>
      <c r="AB69" s="111">
        <v>193388.89455999999</v>
      </c>
      <c r="AC69" s="111">
        <v>4495.31844</v>
      </c>
      <c r="AD69" s="111">
        <v>48641.347080000014</v>
      </c>
      <c r="AE69" s="111">
        <v>671.97146000000021</v>
      </c>
      <c r="AF69" s="111">
        <v>161.93170000000001</v>
      </c>
      <c r="AG69" s="181">
        <v>0</v>
      </c>
      <c r="AH69" s="185"/>
      <c r="AI69" s="186"/>
    </row>
    <row r="70" spans="2:35" ht="15.75" thickBot="1" x14ac:dyDescent="0.3">
      <c r="B70" s="123">
        <f t="shared" si="9"/>
        <v>43465</v>
      </c>
      <c r="C70" s="108">
        <v>155.03149999999999</v>
      </c>
      <c r="D70" s="108">
        <v>87.9</v>
      </c>
      <c r="E70" s="108">
        <v>1612.296</v>
      </c>
      <c r="F70" s="108">
        <v>2070.9830700000002</v>
      </c>
      <c r="G70" s="108">
        <v>446121.88800000004</v>
      </c>
      <c r="H70" s="108">
        <v>3208.3200999999999</v>
      </c>
      <c r="I70" s="108">
        <v>22688.82</v>
      </c>
      <c r="J70" s="108">
        <v>1696.52505</v>
      </c>
      <c r="K70" s="108">
        <v>32517.399999999994</v>
      </c>
      <c r="L70" s="108">
        <v>4747.2925000000005</v>
      </c>
      <c r="M70" s="108">
        <v>32083.59764</v>
      </c>
      <c r="N70" s="108">
        <v>150.2235</v>
      </c>
      <c r="O70" s="108">
        <v>2514.2835999999998</v>
      </c>
      <c r="P70" s="108">
        <v>1549.2199999999998</v>
      </c>
      <c r="Q70" s="109" t="s">
        <v>168</v>
      </c>
      <c r="R70" s="108">
        <v>3221.1585999999998</v>
      </c>
      <c r="S70" s="108">
        <v>123470</v>
      </c>
      <c r="T70" s="108">
        <v>4867.6000000000004</v>
      </c>
      <c r="U70" s="108">
        <v>25868.550000000003</v>
      </c>
      <c r="V70" s="108">
        <v>2391.1044499999998</v>
      </c>
      <c r="W70" s="108">
        <v>4986.5867099999996</v>
      </c>
      <c r="X70" s="108">
        <v>39092.956400000003</v>
      </c>
      <c r="Y70" s="108">
        <v>94555.504000000001</v>
      </c>
      <c r="Z70" s="108">
        <v>103503.47966</v>
      </c>
      <c r="AA70" s="108">
        <v>169429.16279</v>
      </c>
      <c r="AB70" s="108">
        <v>138910.41099999999</v>
      </c>
      <c r="AC70" s="108">
        <v>2643.5391399999999</v>
      </c>
      <c r="AD70" s="108">
        <v>20902.800000000003</v>
      </c>
      <c r="AE70" s="108">
        <v>931.09550000000002</v>
      </c>
      <c r="AF70" s="108">
        <v>199.61011000000002</v>
      </c>
      <c r="AG70" s="182">
        <v>0</v>
      </c>
      <c r="AH70" s="185"/>
      <c r="AI70" s="186"/>
    </row>
    <row r="71" spans="2:35" x14ac:dyDescent="0.25">
      <c r="B71" s="123">
        <f t="shared" ref="B71:B124" si="10">EOMONTH(B70,1)</f>
        <v>43496</v>
      </c>
      <c r="C71" s="114">
        <v>677.44900000000007</v>
      </c>
      <c r="D71" s="114">
        <v>2562.9584</v>
      </c>
      <c r="E71" s="114">
        <v>205</v>
      </c>
      <c r="F71" s="114">
        <v>6997.9599399999997</v>
      </c>
      <c r="G71" s="114">
        <v>496243.40107999998</v>
      </c>
      <c r="H71" s="114">
        <v>7148.4225000000006</v>
      </c>
      <c r="I71" s="114">
        <v>46921.452409999998</v>
      </c>
      <c r="J71" s="114">
        <v>5543.4952300000004</v>
      </c>
      <c r="K71" s="114">
        <v>69995.463199999998</v>
      </c>
      <c r="L71" s="114">
        <v>8258.0040499999996</v>
      </c>
      <c r="M71" s="114">
        <v>43894.4902</v>
      </c>
      <c r="N71" s="114">
        <v>641.24579999999992</v>
      </c>
      <c r="O71" s="114">
        <v>18727.549100000004</v>
      </c>
      <c r="P71" s="114">
        <v>6929.3099999999986</v>
      </c>
      <c r="Q71" s="115" t="s">
        <v>168</v>
      </c>
      <c r="R71" s="114">
        <v>645.46990000000005</v>
      </c>
      <c r="S71" s="114">
        <v>141593</v>
      </c>
      <c r="T71" s="114">
        <v>46322.524359999996</v>
      </c>
      <c r="U71" s="114">
        <v>50945.219320000004</v>
      </c>
      <c r="V71" s="114">
        <v>9057.0910299999978</v>
      </c>
      <c r="W71" s="114">
        <v>14963.0833</v>
      </c>
      <c r="X71" s="114">
        <v>87750.570399999997</v>
      </c>
      <c r="Y71" s="114">
        <v>141174.14848999999</v>
      </c>
      <c r="Z71" s="114">
        <v>143157.91519999999</v>
      </c>
      <c r="AA71" s="114">
        <v>202861.46471999999</v>
      </c>
      <c r="AB71" s="114">
        <v>141977.6636</v>
      </c>
      <c r="AC71" s="114">
        <v>10638.999250000001</v>
      </c>
      <c r="AD71" s="114">
        <v>58367.276680000003</v>
      </c>
      <c r="AE71" s="114">
        <v>15758.810900000002</v>
      </c>
      <c r="AF71" s="91">
        <v>1336.7693199999999</v>
      </c>
      <c r="AG71" s="180">
        <v>0</v>
      </c>
      <c r="AH71" s="185"/>
      <c r="AI71" s="186"/>
    </row>
    <row r="72" spans="2:35" x14ac:dyDescent="0.25">
      <c r="B72" s="123">
        <f t="shared" si="10"/>
        <v>43524</v>
      </c>
      <c r="C72" s="111">
        <v>3007.2725000000005</v>
      </c>
      <c r="D72" s="111">
        <v>16620.627</v>
      </c>
      <c r="E72" s="111">
        <v>150</v>
      </c>
      <c r="F72" s="111">
        <v>19864.941010000002</v>
      </c>
      <c r="G72" s="111">
        <v>479826.84959999996</v>
      </c>
      <c r="H72" s="111">
        <v>9538.7641999999996</v>
      </c>
      <c r="I72" s="111">
        <v>97343.051760000075</v>
      </c>
      <c r="J72" s="111">
        <v>14672.651800000009</v>
      </c>
      <c r="K72" s="111">
        <v>180691.10720000003</v>
      </c>
      <c r="L72" s="111">
        <v>9964.469219999999</v>
      </c>
      <c r="M72" s="111">
        <v>276.726</v>
      </c>
      <c r="N72" s="111">
        <v>225.6345</v>
      </c>
      <c r="O72" s="111">
        <v>5569.2000000000007</v>
      </c>
      <c r="P72" s="111">
        <v>2154.8049999999998</v>
      </c>
      <c r="Q72" s="112" t="s">
        <v>168</v>
      </c>
      <c r="R72" s="111">
        <v>1561.0250999999998</v>
      </c>
      <c r="S72" s="111">
        <v>130042</v>
      </c>
      <c r="T72" s="111">
        <v>67313.232799999969</v>
      </c>
      <c r="U72" s="111">
        <v>135695.66144000003</v>
      </c>
      <c r="V72" s="111">
        <v>12914.868900000001</v>
      </c>
      <c r="W72" s="111">
        <v>14928.403749999999</v>
      </c>
      <c r="X72" s="111">
        <v>41332.800000000003</v>
      </c>
      <c r="Y72" s="111">
        <v>61473.406999999999</v>
      </c>
      <c r="Z72" s="111">
        <v>104699.776</v>
      </c>
      <c r="AA72" s="111">
        <v>164759.66342</v>
      </c>
      <c r="AB72" s="111">
        <v>143878.75</v>
      </c>
      <c r="AC72" s="111">
        <v>5432.2616500000004</v>
      </c>
      <c r="AD72" s="111">
        <v>110851.80212000004</v>
      </c>
      <c r="AE72" s="111">
        <v>7236.5612999999985</v>
      </c>
      <c r="AF72" s="111">
        <v>611.40656999999999</v>
      </c>
      <c r="AG72" s="181">
        <v>0</v>
      </c>
      <c r="AH72" s="185"/>
      <c r="AI72" s="186"/>
    </row>
    <row r="73" spans="2:35" ht="15.75" thickBot="1" x14ac:dyDescent="0.3">
      <c r="B73" s="123">
        <f t="shared" si="10"/>
        <v>43555</v>
      </c>
      <c r="C73" s="108">
        <v>7689.4693000000007</v>
      </c>
      <c r="D73" s="108">
        <v>9566.1899999999987</v>
      </c>
      <c r="E73" s="108">
        <v>27990.759900000001</v>
      </c>
      <c r="F73" s="108">
        <v>7380.1793899999993</v>
      </c>
      <c r="G73" s="108">
        <v>281586.77182000002</v>
      </c>
      <c r="H73" s="108">
        <v>8791.3649999999998</v>
      </c>
      <c r="I73" s="108">
        <v>68416.038840000008</v>
      </c>
      <c r="J73" s="108">
        <v>4984.6022000000003</v>
      </c>
      <c r="K73" s="108">
        <v>146570.90720000002</v>
      </c>
      <c r="L73" s="108">
        <v>8625.6503000000012</v>
      </c>
      <c r="M73" s="108">
        <v>1451.5722000000001</v>
      </c>
      <c r="N73" s="108">
        <v>315.411</v>
      </c>
      <c r="O73" s="108">
        <v>7582.5748999999996</v>
      </c>
      <c r="P73" s="108">
        <v>3207.2575000000002</v>
      </c>
      <c r="Q73" s="109" t="s">
        <v>168</v>
      </c>
      <c r="R73" s="108">
        <v>648.18600000000004</v>
      </c>
      <c r="S73" s="108">
        <v>89310</v>
      </c>
      <c r="T73" s="108">
        <v>17210.886590000002</v>
      </c>
      <c r="U73" s="108">
        <v>86776.17932000001</v>
      </c>
      <c r="V73" s="108">
        <v>14024.092959999998</v>
      </c>
      <c r="W73" s="108">
        <v>8430.6283100000001</v>
      </c>
      <c r="X73" s="108">
        <v>39905.096400000002</v>
      </c>
      <c r="Y73" s="108">
        <v>60722.142739999996</v>
      </c>
      <c r="Z73" s="108">
        <v>89587.479659999997</v>
      </c>
      <c r="AA73" s="108">
        <v>147671.28775000002</v>
      </c>
      <c r="AB73" s="108">
        <v>263048.30556000001</v>
      </c>
      <c r="AC73" s="108">
        <v>3902.6821099999997</v>
      </c>
      <c r="AD73" s="108">
        <v>90074.943480000031</v>
      </c>
      <c r="AE73" s="108">
        <v>10318.52658</v>
      </c>
      <c r="AF73" s="108">
        <v>598.42796999999996</v>
      </c>
      <c r="AG73" s="182">
        <v>104.1</v>
      </c>
      <c r="AH73" s="185"/>
      <c r="AI73" s="186"/>
    </row>
    <row r="74" spans="2:35" x14ac:dyDescent="0.25">
      <c r="B74" s="123">
        <f t="shared" si="10"/>
        <v>43585</v>
      </c>
      <c r="C74" s="114">
        <v>31339.6001</v>
      </c>
      <c r="D74" s="114">
        <v>540.78156999999999</v>
      </c>
      <c r="E74" s="114">
        <v>45408.762600000009</v>
      </c>
      <c r="F74" s="114">
        <v>6475.1043799999979</v>
      </c>
      <c r="G74" s="114">
        <v>330245.66619999998</v>
      </c>
      <c r="H74" s="114">
        <v>8963.9044799999992</v>
      </c>
      <c r="I74" s="114">
        <v>97038.442350000027</v>
      </c>
      <c r="J74" s="114">
        <v>5403.2864999999993</v>
      </c>
      <c r="K74" s="114">
        <v>76526.743399999992</v>
      </c>
      <c r="L74" s="114">
        <v>19543.949499999995</v>
      </c>
      <c r="M74" s="114">
        <v>236.81319999999997</v>
      </c>
      <c r="N74" s="114">
        <v>300</v>
      </c>
      <c r="O74" s="114">
        <v>13929.530199999999</v>
      </c>
      <c r="P74" s="114">
        <v>1676.6256299999998</v>
      </c>
      <c r="Q74" s="115" t="s">
        <v>168</v>
      </c>
      <c r="R74" s="114">
        <v>1335.779</v>
      </c>
      <c r="S74" s="114">
        <v>83633</v>
      </c>
      <c r="T74" s="114">
        <v>36101.008500000011</v>
      </c>
      <c r="U74" s="114">
        <v>77613.179900000017</v>
      </c>
      <c r="V74" s="114">
        <v>8874.4371499999997</v>
      </c>
      <c r="W74" s="114">
        <v>8858.4373699999996</v>
      </c>
      <c r="X74" s="114">
        <v>21224.082000000002</v>
      </c>
      <c r="Y74" s="114">
        <v>45623</v>
      </c>
      <c r="Z74" s="114">
        <v>100199.95931999999</v>
      </c>
      <c r="AA74" s="114">
        <v>170352.73058999999</v>
      </c>
      <c r="AB74" s="114">
        <v>272334.75</v>
      </c>
      <c r="AC74" s="114">
        <v>8788.9030300000013</v>
      </c>
      <c r="AD74" s="114">
        <v>77129.19279999999</v>
      </c>
      <c r="AE74" s="114">
        <v>5213.6380999999992</v>
      </c>
      <c r="AF74" s="91">
        <v>843.1270300000001</v>
      </c>
      <c r="AG74" s="180">
        <v>156</v>
      </c>
      <c r="AH74" s="185"/>
      <c r="AI74" s="186"/>
    </row>
    <row r="75" spans="2:35" x14ac:dyDescent="0.25">
      <c r="B75" s="123">
        <f t="shared" si="10"/>
        <v>43616</v>
      </c>
      <c r="C75" s="111">
        <v>24559</v>
      </c>
      <c r="D75" s="111">
        <v>3555.0915800000016</v>
      </c>
      <c r="E75" s="111">
        <v>47840.142400000004</v>
      </c>
      <c r="F75" s="111">
        <v>5004.1300899999997</v>
      </c>
      <c r="G75" s="111">
        <v>153354.44747000001</v>
      </c>
      <c r="H75" s="111">
        <v>3186.3787999999995</v>
      </c>
      <c r="I75" s="111">
        <v>67670.779559999981</v>
      </c>
      <c r="J75" s="111">
        <v>3052.1196</v>
      </c>
      <c r="K75" s="111">
        <v>218977.64833999999</v>
      </c>
      <c r="L75" s="111">
        <v>5568.9755500000001</v>
      </c>
      <c r="M75" s="111">
        <v>181.0686</v>
      </c>
      <c r="N75" s="111">
        <v>0</v>
      </c>
      <c r="O75" s="111">
        <v>4320.8519999999999</v>
      </c>
      <c r="P75" s="111">
        <v>989.94499999999994</v>
      </c>
      <c r="Q75" s="112" t="s">
        <v>168</v>
      </c>
      <c r="R75" s="111">
        <v>776.58349999999996</v>
      </c>
      <c r="S75" s="111">
        <v>47994</v>
      </c>
      <c r="T75" s="111">
        <v>27855.085680000004</v>
      </c>
      <c r="U75" s="111">
        <v>153804.25937999997</v>
      </c>
      <c r="V75" s="111">
        <v>8720.4511600000005</v>
      </c>
      <c r="W75" s="111">
        <v>7334.1500000000005</v>
      </c>
      <c r="X75" s="111">
        <v>8621.4009999999998</v>
      </c>
      <c r="Y75" s="111">
        <v>10436.371999999999</v>
      </c>
      <c r="Z75" s="111">
        <v>74276.447100000005</v>
      </c>
      <c r="AA75" s="111">
        <v>151325</v>
      </c>
      <c r="AB75" s="111">
        <v>109731.81080000001</v>
      </c>
      <c r="AC75" s="111">
        <v>13217.1186</v>
      </c>
      <c r="AD75" s="111">
        <v>148354.83936999997</v>
      </c>
      <c r="AE75" s="111">
        <v>2849.3272100000004</v>
      </c>
      <c r="AF75" s="111">
        <v>951.96440000000007</v>
      </c>
      <c r="AG75" s="181">
        <v>0</v>
      </c>
      <c r="AH75" s="185"/>
      <c r="AI75" s="186"/>
    </row>
    <row r="76" spans="2:35" ht="15.75" thickBot="1" x14ac:dyDescent="0.3">
      <c r="B76" s="123">
        <f t="shared" si="10"/>
        <v>43646</v>
      </c>
      <c r="C76" s="108">
        <v>9535.4691999999995</v>
      </c>
      <c r="D76" s="108">
        <v>1281.6257499999997</v>
      </c>
      <c r="E76" s="108">
        <v>97575.747049999991</v>
      </c>
      <c r="F76" s="108">
        <v>3134.0722799999999</v>
      </c>
      <c r="G76" s="108">
        <v>52667.627640000006</v>
      </c>
      <c r="H76" s="108">
        <v>2080.84</v>
      </c>
      <c r="I76" s="108">
        <v>58156.338900000002</v>
      </c>
      <c r="J76" s="108">
        <v>6911.6467299999995</v>
      </c>
      <c r="K76" s="108">
        <v>40696.932959999998</v>
      </c>
      <c r="L76" s="108">
        <v>3173.5611700000004</v>
      </c>
      <c r="M76" s="108">
        <v>5648.8755000000001</v>
      </c>
      <c r="N76" s="108">
        <v>58.952249999999999</v>
      </c>
      <c r="O76" s="108">
        <v>4768.7555999999995</v>
      </c>
      <c r="P76" s="108">
        <v>90.552500000000009</v>
      </c>
      <c r="Q76" s="109" t="s">
        <v>168</v>
      </c>
      <c r="R76" s="108">
        <v>1849.47165</v>
      </c>
      <c r="S76" s="108">
        <v>26374</v>
      </c>
      <c r="T76" s="108">
        <v>20519.28715</v>
      </c>
      <c r="U76" s="108">
        <v>41299.621849999996</v>
      </c>
      <c r="V76" s="108">
        <v>13038.108919999999</v>
      </c>
      <c r="W76" s="108">
        <v>5245.6647499999999</v>
      </c>
      <c r="X76" s="108">
        <v>8974.4</v>
      </c>
      <c r="Y76" s="108">
        <v>17614</v>
      </c>
      <c r="Z76" s="108">
        <v>0</v>
      </c>
      <c r="AA76" s="108">
        <v>1536.4215100000001</v>
      </c>
      <c r="AB76" s="108">
        <v>17283</v>
      </c>
      <c r="AC76" s="108">
        <v>6676.19625</v>
      </c>
      <c r="AD76" s="108">
        <v>42378.037690000005</v>
      </c>
      <c r="AE76" s="108">
        <v>4694.3551599999992</v>
      </c>
      <c r="AF76" s="108">
        <v>844.64471000000003</v>
      </c>
      <c r="AG76" s="182">
        <v>1703.19</v>
      </c>
      <c r="AH76" s="185"/>
      <c r="AI76" s="186"/>
    </row>
    <row r="77" spans="2:35" x14ac:dyDescent="0.25">
      <c r="B77" s="123">
        <f t="shared" si="10"/>
        <v>43677</v>
      </c>
      <c r="C77" s="111">
        <v>5808.7558999999992</v>
      </c>
      <c r="D77" s="111">
        <v>477.93824999999993</v>
      </c>
      <c r="E77" s="111">
        <v>97575.747049999991</v>
      </c>
      <c r="F77" s="111">
        <v>1035.60736</v>
      </c>
      <c r="G77" s="111">
        <v>19855.620080000001</v>
      </c>
      <c r="H77" s="111">
        <v>2497.8975</v>
      </c>
      <c r="I77" s="111">
        <v>60867.502829999983</v>
      </c>
      <c r="J77" s="111">
        <v>3220.1040999999996</v>
      </c>
      <c r="K77" s="111">
        <v>89313.508600000016</v>
      </c>
      <c r="L77" s="111">
        <v>2879.10358</v>
      </c>
      <c r="M77" s="111">
        <v>2696.4189000000001</v>
      </c>
      <c r="N77" s="111">
        <v>150.822</v>
      </c>
      <c r="O77" s="111">
        <v>2821.4519999999998</v>
      </c>
      <c r="P77" s="111">
        <v>382.27200000000005</v>
      </c>
      <c r="Q77" s="112" t="s">
        <v>168</v>
      </c>
      <c r="R77" s="111">
        <v>776.44166000000007</v>
      </c>
      <c r="S77" s="111">
        <v>8745</v>
      </c>
      <c r="T77" s="111">
        <v>10516.907509999999</v>
      </c>
      <c r="U77" s="111">
        <v>70181.056870000015</v>
      </c>
      <c r="V77" s="111">
        <v>13380.186079999996</v>
      </c>
      <c r="W77" s="111">
        <v>3591.6743099999999</v>
      </c>
      <c r="X77" s="111">
        <v>208.626</v>
      </c>
      <c r="Y77" s="111">
        <v>6563.2692399999996</v>
      </c>
      <c r="Z77" s="111">
        <v>10072.479660000001</v>
      </c>
      <c r="AA77" s="111">
        <v>32156.947250000001</v>
      </c>
      <c r="AB77" s="111">
        <v>16277.305560000001</v>
      </c>
      <c r="AC77" s="111">
        <v>16834.757840000002</v>
      </c>
      <c r="AD77" s="111">
        <v>72447.790729999993</v>
      </c>
      <c r="AE77" s="111">
        <v>1815.6026100000001</v>
      </c>
      <c r="AF77" s="91">
        <v>931.69075999999995</v>
      </c>
      <c r="AG77" s="180">
        <v>0</v>
      </c>
      <c r="AH77" s="185"/>
      <c r="AI77" s="186"/>
    </row>
    <row r="78" spans="2:35" x14ac:dyDescent="0.25">
      <c r="B78" s="123">
        <f t="shared" si="10"/>
        <v>43708</v>
      </c>
      <c r="C78" s="111">
        <v>631.53710000000001</v>
      </c>
      <c r="D78" s="111">
        <v>1215.56431</v>
      </c>
      <c r="E78" s="111">
        <v>9907.3366499999993</v>
      </c>
      <c r="F78" s="111">
        <v>185.56874999999997</v>
      </c>
      <c r="G78" s="111">
        <v>26612.554600000003</v>
      </c>
      <c r="H78" s="111">
        <v>3696.1640500000003</v>
      </c>
      <c r="I78" s="111">
        <v>27283.696880000007</v>
      </c>
      <c r="J78" s="111">
        <v>2647.7566999999999</v>
      </c>
      <c r="K78" s="111">
        <v>69052.491119999991</v>
      </c>
      <c r="L78" s="111">
        <v>2570.24305</v>
      </c>
      <c r="M78" s="111">
        <v>50.481000000000009</v>
      </c>
      <c r="N78" s="111">
        <v>75.411000000000001</v>
      </c>
      <c r="O78" s="111">
        <v>3539.4236000000005</v>
      </c>
      <c r="P78" s="111">
        <v>-21686.774999999998</v>
      </c>
      <c r="Q78" s="111">
        <v>10910</v>
      </c>
      <c r="R78" s="111">
        <v>184.11510000000001</v>
      </c>
      <c r="S78" s="111">
        <v>5788</v>
      </c>
      <c r="T78" s="111">
        <v>3554.6472999999996</v>
      </c>
      <c r="U78" s="111">
        <v>43147.137940000001</v>
      </c>
      <c r="V78" s="111">
        <v>3874.9877599999995</v>
      </c>
      <c r="W78" s="111">
        <v>4121.5532999999996</v>
      </c>
      <c r="X78" s="111">
        <v>0</v>
      </c>
      <c r="Y78" s="111">
        <v>2186.5</v>
      </c>
      <c r="Z78" s="111">
        <v>10019.982</v>
      </c>
      <c r="AA78" s="111">
        <v>18602.24022</v>
      </c>
      <c r="AB78" s="111">
        <v>10162.411</v>
      </c>
      <c r="AC78" s="111">
        <v>3408.7464</v>
      </c>
      <c r="AD78" s="111">
        <v>44733.988919999996</v>
      </c>
      <c r="AE78" s="111">
        <v>502.46195</v>
      </c>
      <c r="AF78" s="111">
        <v>395.87711999999999</v>
      </c>
      <c r="AG78" s="181">
        <v>0</v>
      </c>
      <c r="AH78" s="185"/>
      <c r="AI78" s="186"/>
    </row>
    <row r="79" spans="2:35" ht="15.75" thickBot="1" x14ac:dyDescent="0.3">
      <c r="B79" s="123">
        <f t="shared" si="10"/>
        <v>43738</v>
      </c>
      <c r="C79" s="108">
        <v>376.2955</v>
      </c>
      <c r="D79" s="108">
        <v>228.09005999999999</v>
      </c>
      <c r="E79" s="108">
        <v>0.2838</v>
      </c>
      <c r="F79" s="108">
        <v>336.55378000000007</v>
      </c>
      <c r="G79" s="108">
        <v>92294.97</v>
      </c>
      <c r="H79" s="108">
        <v>2669.0455999999999</v>
      </c>
      <c r="I79" s="108">
        <v>22079.534149999996</v>
      </c>
      <c r="J79" s="108">
        <v>2130.2613000000001</v>
      </c>
      <c r="K79" s="108">
        <v>39989.9804</v>
      </c>
      <c r="L79" s="108">
        <v>3704.02819</v>
      </c>
      <c r="M79" s="108">
        <v>1359.0192000000002</v>
      </c>
      <c r="N79" s="108">
        <v>60.448500000000003</v>
      </c>
      <c r="O79" s="108">
        <v>12104.304</v>
      </c>
      <c r="P79" s="108">
        <v>-9514.5099999999984</v>
      </c>
      <c r="Q79" s="108">
        <v>5170</v>
      </c>
      <c r="R79" s="108">
        <v>24.917750000000002</v>
      </c>
      <c r="S79" s="108">
        <v>32650.913399999998</v>
      </c>
      <c r="T79" s="108">
        <v>2037.6</v>
      </c>
      <c r="U79" s="108">
        <v>20216.675899999998</v>
      </c>
      <c r="V79" s="108">
        <v>6018.3463099999981</v>
      </c>
      <c r="W79" s="108">
        <v>2125.24575</v>
      </c>
      <c r="X79" s="108">
        <v>1327.2</v>
      </c>
      <c r="Y79" s="108">
        <v>23382.355459999999</v>
      </c>
      <c r="Z79" s="108">
        <v>23850.029340000001</v>
      </c>
      <c r="AA79" s="108">
        <v>46351.89645</v>
      </c>
      <c r="AB79" s="108">
        <v>52952.620609999998</v>
      </c>
      <c r="AC79" s="108">
        <v>3266.9288500000002</v>
      </c>
      <c r="AD79" s="108">
        <v>26882.575400000002</v>
      </c>
      <c r="AE79" s="108">
        <v>224.12195000000003</v>
      </c>
      <c r="AF79" s="108">
        <v>110.18184999999998</v>
      </c>
      <c r="AG79" s="182">
        <v>0</v>
      </c>
      <c r="AH79" s="185"/>
      <c r="AI79" s="186"/>
    </row>
    <row r="80" spans="2:35" x14ac:dyDescent="0.25">
      <c r="B80" s="123">
        <f t="shared" si="10"/>
        <v>43769</v>
      </c>
      <c r="C80" s="114">
        <v>925.66410000000019</v>
      </c>
      <c r="D80" s="114">
        <v>839.81466</v>
      </c>
      <c r="E80" s="114">
        <v>46</v>
      </c>
      <c r="F80" s="114">
        <v>3035.0982599999998</v>
      </c>
      <c r="G80" s="114">
        <v>455093.32208000001</v>
      </c>
      <c r="H80" s="114">
        <v>3693.0271000000002</v>
      </c>
      <c r="I80" s="114">
        <v>20304.28269</v>
      </c>
      <c r="J80" s="114">
        <v>3871.9372499999999</v>
      </c>
      <c r="K80" s="114">
        <v>124587.68759999998</v>
      </c>
      <c r="L80" s="114">
        <v>1063.03801</v>
      </c>
      <c r="M80" s="114">
        <v>2409.3623000000007</v>
      </c>
      <c r="N80" s="114">
        <v>-3037.5817000000002</v>
      </c>
      <c r="O80" s="114">
        <v>11210.623349999998</v>
      </c>
      <c r="P80" s="114">
        <v>180.2895</v>
      </c>
      <c r="Q80" s="115" t="s">
        <v>168</v>
      </c>
      <c r="R80" s="114">
        <v>1.1046</v>
      </c>
      <c r="S80" s="114">
        <v>123882</v>
      </c>
      <c r="T80" s="114">
        <v>734.69705999999996</v>
      </c>
      <c r="U80" s="114">
        <v>77411.018620000017</v>
      </c>
      <c r="V80" s="114">
        <v>3008.1726100000001</v>
      </c>
      <c r="W80" s="114">
        <v>7043.3545099999992</v>
      </c>
      <c r="X80" s="114">
        <v>16387.5831</v>
      </c>
      <c r="Y80" s="114">
        <v>84049.52304</v>
      </c>
      <c r="Z80" s="114">
        <v>98639.479659999997</v>
      </c>
      <c r="AA80" s="114">
        <v>149815.71885</v>
      </c>
      <c r="AB80" s="114">
        <v>156118.39455999999</v>
      </c>
      <c r="AC80" s="114">
        <v>3596.0286900000001</v>
      </c>
      <c r="AD80" s="114">
        <v>68056.486380000017</v>
      </c>
      <c r="AE80" s="114">
        <v>788.23765000000003</v>
      </c>
      <c r="AF80" s="91">
        <v>424.05006999999995</v>
      </c>
      <c r="AG80" s="180">
        <v>0</v>
      </c>
      <c r="AH80" s="185"/>
      <c r="AI80" s="186"/>
    </row>
    <row r="81" spans="2:35" x14ac:dyDescent="0.25">
      <c r="B81" s="123">
        <f t="shared" si="10"/>
        <v>43799</v>
      </c>
      <c r="C81" s="111">
        <v>59564.077300000004</v>
      </c>
      <c r="D81" s="111">
        <v>15.92</v>
      </c>
      <c r="E81" s="111">
        <v>16.398</v>
      </c>
      <c r="F81" s="111">
        <v>1589.5899100000001</v>
      </c>
      <c r="G81" s="111">
        <v>553041.89599999995</v>
      </c>
      <c r="H81" s="111">
        <v>3040.8137500000003</v>
      </c>
      <c r="I81" s="111">
        <v>13203.185000000001</v>
      </c>
      <c r="J81" s="111">
        <v>1963.7496500000002</v>
      </c>
      <c r="K81" s="111">
        <v>17616.668659999999</v>
      </c>
      <c r="L81" s="111">
        <v>4814.8553999999995</v>
      </c>
      <c r="M81" s="111">
        <v>157.72649999999999</v>
      </c>
      <c r="N81" s="111">
        <v>0</v>
      </c>
      <c r="O81" s="111">
        <v>18763.261399999999</v>
      </c>
      <c r="P81" s="111">
        <v>1081.835</v>
      </c>
      <c r="Q81" s="112" t="s">
        <v>168</v>
      </c>
      <c r="R81" s="111">
        <v>1123.9997000000001</v>
      </c>
      <c r="S81" s="111">
        <v>150287</v>
      </c>
      <c r="T81" s="111">
        <v>12909.690399999999</v>
      </c>
      <c r="U81" s="111">
        <v>13176.327879999999</v>
      </c>
      <c r="V81" s="111">
        <v>2201.1776500000001</v>
      </c>
      <c r="W81" s="111">
        <v>10622.314780000002</v>
      </c>
      <c r="X81" s="111">
        <v>48908.955399999999</v>
      </c>
      <c r="Y81" s="111">
        <v>110966.9948</v>
      </c>
      <c r="Z81" s="111">
        <v>151492</v>
      </c>
      <c r="AA81" s="111">
        <v>235093.25302999999</v>
      </c>
      <c r="AB81" s="111">
        <v>170702.5</v>
      </c>
      <c r="AC81" s="111">
        <v>3447.3564999999994</v>
      </c>
      <c r="AD81" s="111">
        <v>10158.42866</v>
      </c>
      <c r="AE81" s="111">
        <v>1156.1477399999999</v>
      </c>
      <c r="AF81" s="111">
        <v>418.52002999999996</v>
      </c>
      <c r="AG81" s="181">
        <v>0</v>
      </c>
      <c r="AH81" s="185"/>
      <c r="AI81" s="186"/>
    </row>
    <row r="82" spans="2:35" ht="15.75" thickBot="1" x14ac:dyDescent="0.3">
      <c r="B82" s="123">
        <f t="shared" si="10"/>
        <v>43830</v>
      </c>
      <c r="C82" s="108">
        <v>61746.542999999998</v>
      </c>
      <c r="D82" s="108">
        <v>234.8</v>
      </c>
      <c r="E82" s="108">
        <v>0</v>
      </c>
      <c r="F82" s="108">
        <v>2472.9130699999996</v>
      </c>
      <c r="G82" s="108">
        <v>425503.75099999999</v>
      </c>
      <c r="H82" s="108">
        <v>907.53120000000001</v>
      </c>
      <c r="I82" s="108">
        <v>39352.511399999996</v>
      </c>
      <c r="J82" s="108">
        <v>2911.0010499999999</v>
      </c>
      <c r="K82" s="108">
        <v>39229.0772</v>
      </c>
      <c r="L82" s="108">
        <v>8629.1396499999973</v>
      </c>
      <c r="M82" s="108">
        <v>3538.4407799999999</v>
      </c>
      <c r="N82" s="108">
        <v>420.44850000000002</v>
      </c>
      <c r="O82" s="108">
        <v>7701.6159999999991</v>
      </c>
      <c r="P82" s="108">
        <v>1463.6949999999997</v>
      </c>
      <c r="Q82" s="109" t="s">
        <v>168</v>
      </c>
      <c r="R82" s="108">
        <v>1363.0884999999998</v>
      </c>
      <c r="S82" s="108">
        <v>133435</v>
      </c>
      <c r="T82" s="108">
        <v>3735.6</v>
      </c>
      <c r="U82" s="108">
        <v>26552.286599999999</v>
      </c>
      <c r="V82" s="108">
        <v>3616.6893999999998</v>
      </c>
      <c r="W82" s="108">
        <v>327.68399999999997</v>
      </c>
      <c r="X82" s="108">
        <v>29132.504400000002</v>
      </c>
      <c r="Y82" s="108">
        <v>71079</v>
      </c>
      <c r="Z82" s="108">
        <v>104993.0196</v>
      </c>
      <c r="AA82" s="108">
        <v>192179.6925</v>
      </c>
      <c r="AB82" s="108">
        <v>119959.66099999999</v>
      </c>
      <c r="AC82" s="108">
        <v>3808.4382500000002</v>
      </c>
      <c r="AD82" s="108">
        <v>21427.397199999999</v>
      </c>
      <c r="AE82" s="108">
        <v>1494.1629999999998</v>
      </c>
      <c r="AF82" s="108">
        <v>13.5654</v>
      </c>
      <c r="AG82" s="182">
        <v>0</v>
      </c>
      <c r="AH82" s="185"/>
      <c r="AI82" s="186"/>
    </row>
    <row r="83" spans="2:35" x14ac:dyDescent="0.25">
      <c r="B83" s="123">
        <f t="shared" si="10"/>
        <v>43861</v>
      </c>
      <c r="C83" s="114">
        <v>1201.3031000000001</v>
      </c>
      <c r="D83" s="114">
        <v>3301.4188999999997</v>
      </c>
      <c r="E83" s="114">
        <v>68449.536399999983</v>
      </c>
      <c r="F83" s="114">
        <v>8725.0224299999991</v>
      </c>
      <c r="G83" s="114">
        <v>557460.12300000002</v>
      </c>
      <c r="H83" s="114">
        <v>6546.9130000000005</v>
      </c>
      <c r="I83" s="114">
        <v>73756.142860000007</v>
      </c>
      <c r="J83" s="114">
        <v>5764.4081999999999</v>
      </c>
      <c r="K83" s="114">
        <v>59701.579600000005</v>
      </c>
      <c r="L83" s="114">
        <v>11719.986099999995</v>
      </c>
      <c r="M83" s="114">
        <v>21040.840549999997</v>
      </c>
      <c r="N83" s="114">
        <v>301.0455</v>
      </c>
      <c r="O83" s="114">
        <v>4072.0700999999995</v>
      </c>
      <c r="P83" s="114">
        <v>5021.79</v>
      </c>
      <c r="Q83" s="115" t="s">
        <v>168</v>
      </c>
      <c r="R83" s="114">
        <v>4569.4849000000004</v>
      </c>
      <c r="S83" s="114">
        <v>178528</v>
      </c>
      <c r="T83" s="114">
        <v>15682.521400000001</v>
      </c>
      <c r="U83" s="114">
        <v>40310.780160000002</v>
      </c>
      <c r="V83" s="114">
        <v>8601.9891000000007</v>
      </c>
      <c r="W83" s="114">
        <v>8485.705750000001</v>
      </c>
      <c r="X83" s="114">
        <v>71464.798400000014</v>
      </c>
      <c r="Y83" s="114">
        <v>121442.24619999999</v>
      </c>
      <c r="Z83" s="114">
        <v>150000</v>
      </c>
      <c r="AA83" s="114">
        <v>246012.33630999998</v>
      </c>
      <c r="AB83" s="114">
        <v>136360.5</v>
      </c>
      <c r="AC83" s="114">
        <v>16569.951950000006</v>
      </c>
      <c r="AD83" s="114">
        <v>30199.551100000001</v>
      </c>
      <c r="AE83" s="114">
        <v>9518.8311599999979</v>
      </c>
      <c r="AF83" s="91">
        <v>375.01041000000004</v>
      </c>
      <c r="AG83" s="180">
        <v>0</v>
      </c>
      <c r="AH83" s="185"/>
      <c r="AI83" s="186"/>
    </row>
    <row r="84" spans="2:35" x14ac:dyDescent="0.25">
      <c r="B84" s="123">
        <f t="shared" si="10"/>
        <v>43890</v>
      </c>
      <c r="C84" s="111">
        <v>63416.681699999994</v>
      </c>
      <c r="D84" s="111">
        <v>34742.394980000005</v>
      </c>
      <c r="E84" s="111">
        <v>4914.0919999999996</v>
      </c>
      <c r="F84" s="111">
        <v>13746.388169999997</v>
      </c>
      <c r="G84" s="111">
        <v>463740.54319999996</v>
      </c>
      <c r="H84" s="111">
        <v>16196.923550000001</v>
      </c>
      <c r="I84" s="111">
        <v>87434.748260000008</v>
      </c>
      <c r="J84" s="111">
        <v>8072.8755499999997</v>
      </c>
      <c r="K84" s="111">
        <v>69281.137620000009</v>
      </c>
      <c r="L84" s="111">
        <v>7630.0650500000002</v>
      </c>
      <c r="M84" s="111">
        <v>440.51490000000001</v>
      </c>
      <c r="N84" s="111">
        <v>75.411000000000001</v>
      </c>
      <c r="O84" s="111">
        <v>9937.0032500000016</v>
      </c>
      <c r="P84" s="111">
        <v>2085.7030999999997</v>
      </c>
      <c r="Q84" s="112" t="s">
        <v>168</v>
      </c>
      <c r="R84" s="111">
        <v>3734.4275999999995</v>
      </c>
      <c r="S84" s="111">
        <v>134381</v>
      </c>
      <c r="T84" s="111">
        <v>55249.141229999987</v>
      </c>
      <c r="U84" s="111">
        <v>71193.112290000005</v>
      </c>
      <c r="V84" s="111">
        <v>24189.28599</v>
      </c>
      <c r="W84" s="111">
        <v>7223.8842500000001</v>
      </c>
      <c r="X84" s="111">
        <v>52052.160000000003</v>
      </c>
      <c r="Y84" s="111">
        <v>67477.75</v>
      </c>
      <c r="Z84" s="111">
        <v>115010</v>
      </c>
      <c r="AA84" s="111">
        <v>246743.09422</v>
      </c>
      <c r="AB84" s="111">
        <v>131916.82199999999</v>
      </c>
      <c r="AC84" s="111">
        <v>2954.4109500000004</v>
      </c>
      <c r="AD84" s="111">
        <v>67650.650250000006</v>
      </c>
      <c r="AE84" s="111">
        <v>11671.522010000001</v>
      </c>
      <c r="AF84" s="111">
        <v>309.23106999999999</v>
      </c>
      <c r="AG84" s="181">
        <v>0</v>
      </c>
      <c r="AH84" s="185"/>
      <c r="AI84" s="186"/>
    </row>
    <row r="85" spans="2:35" ht="15.75" thickBot="1" x14ac:dyDescent="0.3">
      <c r="B85" s="123">
        <f t="shared" si="10"/>
        <v>43921</v>
      </c>
      <c r="C85" s="108">
        <v>84349.209600000002</v>
      </c>
      <c r="D85" s="108">
        <v>7225.772750000001</v>
      </c>
      <c r="E85" s="108">
        <v>32336.903399999999</v>
      </c>
      <c r="F85" s="108">
        <v>8906.5989399999999</v>
      </c>
      <c r="G85" s="108">
        <v>407093.62138000003</v>
      </c>
      <c r="H85" s="108">
        <v>7573.1125000000011</v>
      </c>
      <c r="I85" s="108">
        <v>116187.39109</v>
      </c>
      <c r="J85" s="108">
        <v>16775.73863</v>
      </c>
      <c r="K85" s="108">
        <v>152429.11997999999</v>
      </c>
      <c r="L85" s="108">
        <v>8332.1667200000011</v>
      </c>
      <c r="M85" s="108">
        <v>6184.4291999999996</v>
      </c>
      <c r="N85" s="108">
        <v>265.447</v>
      </c>
      <c r="O85" s="108">
        <v>4996.365499999999</v>
      </c>
      <c r="P85" s="108">
        <v>2479.8780999999999</v>
      </c>
      <c r="Q85" s="109" t="s">
        <v>168</v>
      </c>
      <c r="R85" s="108">
        <v>5376.0984599999992</v>
      </c>
      <c r="S85" s="108">
        <v>125186.6624</v>
      </c>
      <c r="T85" s="108">
        <v>35617.889009999992</v>
      </c>
      <c r="U85" s="108">
        <v>113718.26016000002</v>
      </c>
      <c r="V85" s="108">
        <v>18145.591379999998</v>
      </c>
      <c r="W85" s="108">
        <v>7051.2224600000009</v>
      </c>
      <c r="X85" s="108">
        <v>32851.921999999999</v>
      </c>
      <c r="Y85" s="108">
        <v>78530.210200000001</v>
      </c>
      <c r="Z85" s="108">
        <v>118397.47966</v>
      </c>
      <c r="AA85" s="108">
        <v>197120.13449999999</v>
      </c>
      <c r="AB85" s="108">
        <v>228496.18852</v>
      </c>
      <c r="AC85" s="108">
        <v>5668.7897399999993</v>
      </c>
      <c r="AD85" s="108">
        <v>112690.96156000003</v>
      </c>
      <c r="AE85" s="108">
        <v>13032.28649</v>
      </c>
      <c r="AF85" s="108">
        <v>9740.5450199999977</v>
      </c>
      <c r="AG85" s="182">
        <v>1490.1</v>
      </c>
      <c r="AH85" s="185"/>
      <c r="AI85" s="186"/>
    </row>
    <row r="86" spans="2:35" x14ac:dyDescent="0.25">
      <c r="B86" s="123">
        <f t="shared" si="10"/>
        <v>43951</v>
      </c>
      <c r="C86" s="114">
        <v>0</v>
      </c>
      <c r="D86" s="114">
        <v>1348.59645</v>
      </c>
      <c r="E86" s="114">
        <v>18650.170000000002</v>
      </c>
      <c r="F86" s="114">
        <v>4400.5803999999998</v>
      </c>
      <c r="G86" s="114">
        <v>391234.27875</v>
      </c>
      <c r="H86" s="114">
        <v>5320.0535</v>
      </c>
      <c r="I86" s="114">
        <v>61998.555609999996</v>
      </c>
      <c r="J86" s="114">
        <v>46530.476799999997</v>
      </c>
      <c r="K86" s="114">
        <v>48114.554400000001</v>
      </c>
      <c r="L86" s="114">
        <v>5017.2800500000003</v>
      </c>
      <c r="M86" s="114">
        <v>84.073800000000006</v>
      </c>
      <c r="N86" s="114">
        <v>75.411000000000001</v>
      </c>
      <c r="O86" s="114">
        <v>24286.67</v>
      </c>
      <c r="P86" s="114">
        <v>1314.15</v>
      </c>
      <c r="Q86" s="115" t="s">
        <v>168</v>
      </c>
      <c r="R86" s="114">
        <v>2219.6961500000002</v>
      </c>
      <c r="S86" s="114">
        <v>40294</v>
      </c>
      <c r="T86" s="114">
        <v>63465.2762</v>
      </c>
      <c r="U86" s="114">
        <v>58561.928599999999</v>
      </c>
      <c r="V86" s="114">
        <v>9126.4905999999992</v>
      </c>
      <c r="W86" s="114">
        <v>6836.2000000000007</v>
      </c>
      <c r="X86" s="114">
        <v>40744.357400000001</v>
      </c>
      <c r="Y86" s="114">
        <v>92772</v>
      </c>
      <c r="Z86" s="114">
        <v>129785</v>
      </c>
      <c r="AA86" s="114">
        <v>198045.44200000001</v>
      </c>
      <c r="AB86" s="114">
        <v>236378.22349999999</v>
      </c>
      <c r="AC86" s="114">
        <v>610.51459999999997</v>
      </c>
      <c r="AD86" s="114">
        <v>61184.205800000003</v>
      </c>
      <c r="AE86" s="114">
        <v>3082.4530499999996</v>
      </c>
      <c r="AF86" s="91">
        <v>941.88940000000002</v>
      </c>
      <c r="AG86" s="180">
        <v>218.5</v>
      </c>
      <c r="AH86" s="185"/>
      <c r="AI86" s="186"/>
    </row>
    <row r="87" spans="2:35" x14ac:dyDescent="0.25">
      <c r="B87" s="123">
        <f t="shared" si="10"/>
        <v>43982</v>
      </c>
      <c r="C87" s="111">
        <v>5103.0418</v>
      </c>
      <c r="D87" s="111">
        <v>2353.6758300000001</v>
      </c>
      <c r="E87" s="111">
        <v>54491.366199999997</v>
      </c>
      <c r="F87" s="111">
        <v>2562.7935400000006</v>
      </c>
      <c r="G87" s="111">
        <v>240174.97288000002</v>
      </c>
      <c r="H87" s="111">
        <v>2328.8173000000002</v>
      </c>
      <c r="I87" s="111">
        <v>28227.905830000003</v>
      </c>
      <c r="J87" s="111">
        <v>7065.80728</v>
      </c>
      <c r="K87" s="111">
        <v>117250.89269999998</v>
      </c>
      <c r="L87" s="111">
        <v>3378.6688999999997</v>
      </c>
      <c r="M87" s="111">
        <v>11020.4319</v>
      </c>
      <c r="N87" s="111">
        <v>150.822</v>
      </c>
      <c r="O87" s="111">
        <v>2924.5392500000007</v>
      </c>
      <c r="P87" s="111">
        <v>611.11699999999996</v>
      </c>
      <c r="Q87" s="112" t="s">
        <v>168</v>
      </c>
      <c r="R87" s="111">
        <v>675.04636000000005</v>
      </c>
      <c r="S87" s="111">
        <v>57441</v>
      </c>
      <c r="T87" s="111">
        <v>12196.002410000001</v>
      </c>
      <c r="U87" s="111">
        <v>87261.223530000032</v>
      </c>
      <c r="V87" s="111">
        <v>1619.5497500000001</v>
      </c>
      <c r="W87" s="111">
        <v>10344.4004</v>
      </c>
      <c r="X87" s="111">
        <v>11856.882</v>
      </c>
      <c r="Y87" s="111">
        <v>41316.379840000001</v>
      </c>
      <c r="Z87" s="111">
        <v>80159.154899999994</v>
      </c>
      <c r="AA87" s="111">
        <v>136758.21831999999</v>
      </c>
      <c r="AB87" s="111">
        <v>133262.11806000001</v>
      </c>
      <c r="AC87" s="111">
        <v>10480.6265</v>
      </c>
      <c r="AD87" s="111">
        <v>79206.514170000009</v>
      </c>
      <c r="AE87" s="111">
        <v>1162.8104699999999</v>
      </c>
      <c r="AF87" s="111">
        <v>680.39451999999994</v>
      </c>
      <c r="AG87" s="181">
        <v>150</v>
      </c>
      <c r="AH87" s="185"/>
      <c r="AI87" s="186"/>
    </row>
    <row r="88" spans="2:35" ht="15.75" thickBot="1" x14ac:dyDescent="0.3">
      <c r="B88" s="123">
        <f t="shared" si="10"/>
        <v>44012</v>
      </c>
      <c r="C88" s="108">
        <v>1253.3031000000001</v>
      </c>
      <c r="D88" s="108">
        <v>1832.6133299999999</v>
      </c>
      <c r="E88" s="108">
        <v>74488.835200000001</v>
      </c>
      <c r="F88" s="108">
        <v>2121.2731399999998</v>
      </c>
      <c r="G88" s="108">
        <v>24610.976999999999</v>
      </c>
      <c r="H88" s="108">
        <v>7444.3652999999995</v>
      </c>
      <c r="I88" s="108">
        <v>72056.49807999999</v>
      </c>
      <c r="J88" s="108">
        <v>6152.287260000001</v>
      </c>
      <c r="K88" s="108">
        <v>97195.550799999983</v>
      </c>
      <c r="L88" s="108">
        <v>4428.6077999999998</v>
      </c>
      <c r="M88" s="108">
        <v>742.05585999999994</v>
      </c>
      <c r="N88" s="108">
        <v>490.42380000000003</v>
      </c>
      <c r="O88" s="108">
        <v>2847.6480000000001</v>
      </c>
      <c r="P88" s="108">
        <v>294.33560000000006</v>
      </c>
      <c r="Q88" s="109" t="s">
        <v>168</v>
      </c>
      <c r="R88" s="108">
        <v>575.58839999999998</v>
      </c>
      <c r="S88" s="108">
        <v>9230</v>
      </c>
      <c r="T88" s="108">
        <v>8462.0774000000001</v>
      </c>
      <c r="U88" s="108">
        <v>73132.923900000023</v>
      </c>
      <c r="V88" s="108">
        <v>10888.985189999999</v>
      </c>
      <c r="W88" s="108">
        <v>1164.9575600000001</v>
      </c>
      <c r="X88" s="108">
        <v>5056</v>
      </c>
      <c r="Y88" s="108">
        <v>4193.7739600000004</v>
      </c>
      <c r="Z88" s="108">
        <v>10162.60766</v>
      </c>
      <c r="AA88" s="108">
        <v>17002.209940000001</v>
      </c>
      <c r="AB88" s="108">
        <v>18366</v>
      </c>
      <c r="AC88" s="108">
        <v>3555.73794</v>
      </c>
      <c r="AD88" s="108">
        <v>82366.186199999996</v>
      </c>
      <c r="AE88" s="108">
        <v>3959.5714699999999</v>
      </c>
      <c r="AF88" s="108">
        <v>571.91485999999998</v>
      </c>
      <c r="AG88" s="182">
        <v>150</v>
      </c>
      <c r="AH88" s="185"/>
      <c r="AI88" s="186"/>
    </row>
    <row r="89" spans="2:35" x14ac:dyDescent="0.25">
      <c r="B89" s="123">
        <f t="shared" si="10"/>
        <v>44043</v>
      </c>
      <c r="C89" s="139">
        <v>880.23109999999997</v>
      </c>
      <c r="D89" s="139">
        <v>2532.7596599999997</v>
      </c>
      <c r="E89" s="139">
        <v>84909.831460000001</v>
      </c>
      <c r="F89" s="139">
        <v>2087.3395399999999</v>
      </c>
      <c r="G89" s="139">
        <v>65942.40552</v>
      </c>
      <c r="H89" s="139">
        <v>2428.3952000000004</v>
      </c>
      <c r="I89" s="139">
        <v>34848.238159999994</v>
      </c>
      <c r="J89" s="139">
        <v>3727.9338000000002</v>
      </c>
      <c r="K89" s="139">
        <v>46984.839599999992</v>
      </c>
      <c r="L89" s="139">
        <v>3899.2746000000006</v>
      </c>
      <c r="M89" s="139">
        <v>1326.66508</v>
      </c>
      <c r="N89" s="139">
        <v>330.2235</v>
      </c>
      <c r="O89" s="139">
        <v>3058.1279999999997</v>
      </c>
      <c r="P89" s="139">
        <v>122.77250000000001</v>
      </c>
      <c r="Q89" s="139" t="s">
        <v>168</v>
      </c>
      <c r="R89" s="139">
        <v>698.01886000000002</v>
      </c>
      <c r="S89" s="139">
        <v>5016.5</v>
      </c>
      <c r="T89" s="139">
        <v>15045.39186</v>
      </c>
      <c r="U89" s="139">
        <v>53069.321619999995</v>
      </c>
      <c r="V89" s="139">
        <v>1678.8571100000001</v>
      </c>
      <c r="W89" s="139">
        <v>5199.6660000000002</v>
      </c>
      <c r="X89" s="139">
        <v>0</v>
      </c>
      <c r="Y89" s="139">
        <v>11064.767240000001</v>
      </c>
      <c r="Z89" s="139">
        <v>7.4909999999999997</v>
      </c>
      <c r="AA89" s="139">
        <v>6420</v>
      </c>
      <c r="AB89" s="139">
        <v>20715.716560000001</v>
      </c>
      <c r="AC89" s="139">
        <v>16626.536100000001</v>
      </c>
      <c r="AD89" s="139">
        <v>55486.162779999999</v>
      </c>
      <c r="AE89" s="139">
        <v>2083.0332000000003</v>
      </c>
      <c r="AF89" s="111">
        <v>302.63890000000004</v>
      </c>
      <c r="AG89" s="167">
        <v>0</v>
      </c>
    </row>
    <row r="90" spans="2:35" x14ac:dyDescent="0.25">
      <c r="B90" s="123">
        <f t="shared" si="10"/>
        <v>44074</v>
      </c>
      <c r="C90" s="139">
        <v>31800.656200000001</v>
      </c>
      <c r="D90" s="139">
        <v>1612.2304599999998</v>
      </c>
      <c r="E90" s="139">
        <v>10972.996150000001</v>
      </c>
      <c r="F90" s="139">
        <v>543.37480000000005</v>
      </c>
      <c r="G90" s="139">
        <v>13548.654409999999</v>
      </c>
      <c r="H90" s="139">
        <v>1259.5118500000001</v>
      </c>
      <c r="I90" s="139">
        <v>49457.688069999975</v>
      </c>
      <c r="J90" s="139">
        <v>5080.3427599999995</v>
      </c>
      <c r="K90" s="139">
        <v>57905.535199999991</v>
      </c>
      <c r="L90" s="139">
        <v>7718.4631500000005</v>
      </c>
      <c r="M90" s="139">
        <v>921.28886000000011</v>
      </c>
      <c r="N90" s="139">
        <v>290.54925000000003</v>
      </c>
      <c r="O90" s="139">
        <v>11590.817509999999</v>
      </c>
      <c r="P90" s="139">
        <v>593.36450000000002</v>
      </c>
      <c r="Q90" s="139" t="s">
        <v>168</v>
      </c>
      <c r="R90" s="139">
        <v>907.27510000000018</v>
      </c>
      <c r="S90" s="139">
        <v>7109.5</v>
      </c>
      <c r="T90" s="139">
        <v>6144.1130499999999</v>
      </c>
      <c r="U90" s="139">
        <v>42432.572900000006</v>
      </c>
      <c r="V90" s="139">
        <v>8497.4593999999997</v>
      </c>
      <c r="W90" s="139">
        <v>4734.4264499999999</v>
      </c>
      <c r="X90" s="139">
        <v>3324.96</v>
      </c>
      <c r="Y90" s="139">
        <v>7981.8790099999997</v>
      </c>
      <c r="Z90" s="139">
        <v>9.3637499999999996</v>
      </c>
      <c r="AA90" s="139">
        <v>12146.49703</v>
      </c>
      <c r="AB90" s="139">
        <v>18570.71775</v>
      </c>
      <c r="AC90" s="139">
        <v>-15672.511830000001</v>
      </c>
      <c r="AD90" s="139">
        <v>50077.57640000002</v>
      </c>
      <c r="AE90" s="139">
        <v>1891.2452000000001</v>
      </c>
      <c r="AF90" s="111">
        <v>200.29093</v>
      </c>
      <c r="AG90" s="157">
        <v>0</v>
      </c>
    </row>
    <row r="91" spans="2:35" ht="15.75" thickBot="1" x14ac:dyDescent="0.3">
      <c r="B91" s="123">
        <f t="shared" si="10"/>
        <v>44104</v>
      </c>
      <c r="C91" s="136">
        <v>1287.2568500000002</v>
      </c>
      <c r="D91" s="136">
        <v>2721.4486200000001</v>
      </c>
      <c r="E91" s="136">
        <v>0</v>
      </c>
      <c r="F91" s="136">
        <v>305.59073999999998</v>
      </c>
      <c r="G91" s="136">
        <v>91329.131999999983</v>
      </c>
      <c r="H91" s="136">
        <v>5644.3060999999989</v>
      </c>
      <c r="I91" s="136">
        <v>23935.486490000003</v>
      </c>
      <c r="J91" s="136">
        <v>2486.2382499999999</v>
      </c>
      <c r="K91" s="136">
        <v>67089.662700000015</v>
      </c>
      <c r="L91" s="136">
        <v>3435.7913200000003</v>
      </c>
      <c r="M91" s="136">
        <v>19536.1296</v>
      </c>
      <c r="N91" s="136">
        <v>0</v>
      </c>
      <c r="O91" s="136">
        <v>15675.259959999999</v>
      </c>
      <c r="P91" s="136">
        <v>158.07499999999999</v>
      </c>
      <c r="Q91" s="136" t="s">
        <v>168</v>
      </c>
      <c r="R91" s="136">
        <v>1499.2920200000001</v>
      </c>
      <c r="S91" s="136">
        <v>21740</v>
      </c>
      <c r="T91" s="136">
        <v>5245.0306</v>
      </c>
      <c r="U91" s="136">
        <v>48591.04434</v>
      </c>
      <c r="V91" s="136">
        <v>3517.0553499999996</v>
      </c>
      <c r="W91" s="136">
        <v>4322.3442000000005</v>
      </c>
      <c r="X91" s="136">
        <v>31341.862699999998</v>
      </c>
      <c r="Y91" s="136">
        <v>23907.493399999999</v>
      </c>
      <c r="Z91" s="136">
        <v>19445</v>
      </c>
      <c r="AA91" s="136">
        <v>34661.474900000001</v>
      </c>
      <c r="AB91" s="136">
        <v>73630.316599999991</v>
      </c>
      <c r="AC91" s="136">
        <v>-342.49420000000009</v>
      </c>
      <c r="AD91" s="136">
        <v>45268.927550000008</v>
      </c>
      <c r="AE91" s="136">
        <v>-16869.287349999999</v>
      </c>
      <c r="AF91" s="108">
        <v>434.71880999999996</v>
      </c>
      <c r="AG91" s="156">
        <v>0</v>
      </c>
    </row>
    <row r="92" spans="2:35" x14ac:dyDescent="0.25">
      <c r="B92" s="123">
        <f t="shared" si="10"/>
        <v>44135</v>
      </c>
      <c r="C92" s="147">
        <v>658.14194999999995</v>
      </c>
      <c r="D92" s="147">
        <v>2168.5922099999998</v>
      </c>
      <c r="E92" s="147">
        <v>0.70950000000000002</v>
      </c>
      <c r="F92" s="147">
        <v>3488.9129900000007</v>
      </c>
      <c r="G92" s="147">
        <v>392934.93907999998</v>
      </c>
      <c r="H92" s="147">
        <v>4618.8696</v>
      </c>
      <c r="I92" s="147">
        <v>42942.365129999998</v>
      </c>
      <c r="J92" s="147">
        <v>1505.4456</v>
      </c>
      <c r="K92" s="147">
        <v>60446.539679999987</v>
      </c>
      <c r="L92" s="147">
        <v>3591.83635</v>
      </c>
      <c r="M92" s="147">
        <v>5569.2523099999999</v>
      </c>
      <c r="N92" s="147">
        <v>815.80909999999994</v>
      </c>
      <c r="O92" s="147">
        <v>21232.173400000003</v>
      </c>
      <c r="P92" s="147">
        <v>548.30250000000001</v>
      </c>
      <c r="Q92" s="147" t="s">
        <v>168</v>
      </c>
      <c r="R92" s="147">
        <v>1824.0091100000002</v>
      </c>
      <c r="S92" s="147">
        <v>110779.4</v>
      </c>
      <c r="T92" s="147">
        <v>4334.8122599999997</v>
      </c>
      <c r="U92" s="147">
        <v>43447.118360000008</v>
      </c>
      <c r="V92" s="147">
        <v>6746.8173300000017</v>
      </c>
      <c r="W92" s="147">
        <v>5936.4972599999992</v>
      </c>
      <c r="X92" s="147">
        <v>16235.371200000003</v>
      </c>
      <c r="Y92" s="147">
        <v>76068.458799999993</v>
      </c>
      <c r="Z92" s="147">
        <v>96794.503660000002</v>
      </c>
      <c r="AA92" s="147">
        <v>216713.73733999999</v>
      </c>
      <c r="AB92" s="147">
        <v>135271.61806000001</v>
      </c>
      <c r="AC92" s="147">
        <v>337.80279999999999</v>
      </c>
      <c r="AD92" s="147">
        <v>47162.866360000007</v>
      </c>
      <c r="AE92" s="147">
        <v>386.44485000000003</v>
      </c>
      <c r="AF92" s="91">
        <v>550.89702999999997</v>
      </c>
      <c r="AG92" s="158">
        <v>0</v>
      </c>
    </row>
    <row r="93" spans="2:35" x14ac:dyDescent="0.25">
      <c r="B93" s="123">
        <f t="shared" si="10"/>
        <v>44165</v>
      </c>
      <c r="C93" s="139">
        <v>1067.23281</v>
      </c>
      <c r="D93" s="139">
        <v>2678.8449599999999</v>
      </c>
      <c r="E93" s="139">
        <v>0</v>
      </c>
      <c r="F93" s="139">
        <v>2650.4494799999998</v>
      </c>
      <c r="G93" s="139">
        <v>529469.74339999992</v>
      </c>
      <c r="H93" s="139">
        <v>3690.4746</v>
      </c>
      <c r="I93" s="139">
        <v>21154.819300000003</v>
      </c>
      <c r="J93" s="139">
        <v>1703.7079500000002</v>
      </c>
      <c r="K93" s="139">
        <v>0</v>
      </c>
      <c r="L93" s="139">
        <v>6832.9944199999991</v>
      </c>
      <c r="M93" s="139">
        <v>295.52069999999998</v>
      </c>
      <c r="N93" s="139">
        <v>0</v>
      </c>
      <c r="O93" s="139">
        <v>7195.0429199999999</v>
      </c>
      <c r="P93" s="139">
        <v>574.69499999999994</v>
      </c>
      <c r="Q93" s="139" t="s">
        <v>168</v>
      </c>
      <c r="R93" s="139">
        <v>2809.28431</v>
      </c>
      <c r="S93" s="139">
        <v>141070.5</v>
      </c>
      <c r="T93" s="139">
        <v>3126.0288</v>
      </c>
      <c r="U93" s="139">
        <v>5240.63</v>
      </c>
      <c r="V93" s="139">
        <v>1255.78728</v>
      </c>
      <c r="W93" s="139">
        <v>3228.5198099999998</v>
      </c>
      <c r="X93" s="139">
        <v>41065.058400000002</v>
      </c>
      <c r="Y93" s="139">
        <v>105126.8668</v>
      </c>
      <c r="Z93" s="139">
        <v>129890.77616000001</v>
      </c>
      <c r="AA93" s="139">
        <v>239459.48214000001</v>
      </c>
      <c r="AB93" s="139">
        <v>160372.72349999999</v>
      </c>
      <c r="AC93" s="139">
        <v>1168.8122000000001</v>
      </c>
      <c r="AD93" s="139">
        <v>2649.0349999999999</v>
      </c>
      <c r="AE93" s="139">
        <v>706.82066000000009</v>
      </c>
      <c r="AF93" s="111">
        <v>303.28251999999998</v>
      </c>
      <c r="AG93" s="157">
        <v>0</v>
      </c>
    </row>
    <row r="94" spans="2:35" ht="15.75" thickBot="1" x14ac:dyDescent="0.3">
      <c r="B94" s="123">
        <f t="shared" si="10"/>
        <v>44196</v>
      </c>
      <c r="C94" s="136">
        <v>93229.684600000008</v>
      </c>
      <c r="D94" s="136">
        <v>1737.09277</v>
      </c>
      <c r="E94" s="136">
        <v>0</v>
      </c>
      <c r="F94" s="136">
        <v>3547.9208400000002</v>
      </c>
      <c r="G94" s="136">
        <v>501040.84013999993</v>
      </c>
      <c r="H94" s="136">
        <v>1895.4638000000002</v>
      </c>
      <c r="I94" s="136">
        <v>50102.762749999994</v>
      </c>
      <c r="J94" s="136">
        <v>3144.1633999999999</v>
      </c>
      <c r="K94" s="136">
        <v>40111.167000000001</v>
      </c>
      <c r="L94" s="136">
        <v>7052.0176199999996</v>
      </c>
      <c r="M94" s="136">
        <v>873.39773999999977</v>
      </c>
      <c r="N94" s="136">
        <v>190.4238</v>
      </c>
      <c r="O94" s="136">
        <v>18758.063600000001</v>
      </c>
      <c r="P94" s="136">
        <v>1184.1956</v>
      </c>
      <c r="Q94" s="136" t="s">
        <v>168</v>
      </c>
      <c r="R94" s="136">
        <v>4060.5696999999996</v>
      </c>
      <c r="S94" s="136">
        <v>138518.20000000001</v>
      </c>
      <c r="T94" s="136">
        <v>8452.5692500000005</v>
      </c>
      <c r="U94" s="136">
        <v>27396.773200000003</v>
      </c>
      <c r="V94" s="136">
        <v>3524.5357399999998</v>
      </c>
      <c r="W94" s="136">
        <v>4844.5410999999986</v>
      </c>
      <c r="X94" s="136">
        <v>68676.974300000002</v>
      </c>
      <c r="Y94" s="136">
        <v>82968.344960000002</v>
      </c>
      <c r="Z94" s="136">
        <v>135005</v>
      </c>
      <c r="AA94" s="136">
        <v>242252.20355999999</v>
      </c>
      <c r="AB94" s="136">
        <v>146398.4803</v>
      </c>
      <c r="AC94" s="136">
        <v>-1506.6149999999998</v>
      </c>
      <c r="AD94" s="136">
        <v>25259.150900000001</v>
      </c>
      <c r="AE94" s="136">
        <v>935.71255000000008</v>
      </c>
      <c r="AF94" s="164">
        <v>516.46641999999997</v>
      </c>
      <c r="AG94" s="156">
        <v>374.90836000000002</v>
      </c>
    </row>
    <row r="95" spans="2:35" x14ac:dyDescent="0.25">
      <c r="B95" s="123">
        <f t="shared" si="10"/>
        <v>44227</v>
      </c>
      <c r="C95" s="142">
        <v>691.81110000000001</v>
      </c>
      <c r="D95" s="142">
        <v>4528.6694800000005</v>
      </c>
      <c r="E95" s="142">
        <v>0</v>
      </c>
      <c r="F95" s="142">
        <v>4984.6961399999991</v>
      </c>
      <c r="G95" s="142">
        <v>498501.28167999996</v>
      </c>
      <c r="H95" s="142">
        <v>5427.9764000000005</v>
      </c>
      <c r="I95" s="142">
        <v>36907.285840000004</v>
      </c>
      <c r="J95" s="142">
        <v>5008.4481900000001</v>
      </c>
      <c r="K95" s="142">
        <v>39453.005599999997</v>
      </c>
      <c r="L95" s="142">
        <v>6829.7025999999996</v>
      </c>
      <c r="M95" s="142">
        <v>11364.142400000001</v>
      </c>
      <c r="N95" s="142">
        <v>-0.39999999999997726</v>
      </c>
      <c r="O95" s="142">
        <v>8690.6851999999999</v>
      </c>
      <c r="P95" s="142">
        <v>1686.0075000000002</v>
      </c>
      <c r="Q95" s="142" t="s">
        <v>168</v>
      </c>
      <c r="R95" s="142">
        <v>3608.2775799999999</v>
      </c>
      <c r="S95" s="142">
        <v>143486</v>
      </c>
      <c r="T95" s="142">
        <v>7918.65726</v>
      </c>
      <c r="U95" s="142">
        <v>28769.76612</v>
      </c>
      <c r="V95" s="142">
        <v>3053.76413</v>
      </c>
      <c r="W95" s="142">
        <v>4716.8718499999995</v>
      </c>
      <c r="X95" s="142">
        <v>12073.607600000001</v>
      </c>
      <c r="Y95" s="142">
        <v>96935.806400000001</v>
      </c>
      <c r="Z95" s="142">
        <v>135005</v>
      </c>
      <c r="AA95" s="142">
        <v>247285.68161</v>
      </c>
      <c r="AB95" s="142">
        <v>162366.61806000001</v>
      </c>
      <c r="AC95" s="142">
        <v>4924.7371999999996</v>
      </c>
      <c r="AD95" s="142">
        <v>23528.592779999999</v>
      </c>
      <c r="AE95" s="142">
        <v>4533.2794500000009</v>
      </c>
      <c r="AF95" s="166">
        <v>548.25021000000004</v>
      </c>
      <c r="AG95" s="158">
        <v>3685</v>
      </c>
    </row>
    <row r="96" spans="2:35" x14ac:dyDescent="0.25">
      <c r="B96" s="123">
        <f t="shared" si="10"/>
        <v>44255</v>
      </c>
      <c r="C96" s="139">
        <v>163546.77231999996</v>
      </c>
      <c r="D96" s="139">
        <v>37039.242380000011</v>
      </c>
      <c r="E96" s="139">
        <v>170.17027999999999</v>
      </c>
      <c r="F96" s="139">
        <v>12896.07892</v>
      </c>
      <c r="G96" s="139">
        <v>512257.17600000004</v>
      </c>
      <c r="H96" s="139">
        <v>18861.147700000001</v>
      </c>
      <c r="I96" s="139">
        <v>85478.480660000001</v>
      </c>
      <c r="J96" s="139">
        <v>16661.616949999996</v>
      </c>
      <c r="K96" s="139">
        <v>45499.379000000001</v>
      </c>
      <c r="L96" s="139">
        <v>6558.9269199999999</v>
      </c>
      <c r="M96" s="139">
        <v>20776.826829999998</v>
      </c>
      <c r="N96" s="139">
        <v>190.4238</v>
      </c>
      <c r="O96" s="139">
        <v>5983.9539999999997</v>
      </c>
      <c r="P96" s="139">
        <v>3301.3540000000003</v>
      </c>
      <c r="Q96" s="139" t="s">
        <v>168</v>
      </c>
      <c r="R96" s="139">
        <v>6347.4779199999994</v>
      </c>
      <c r="S96" s="139">
        <v>122460</v>
      </c>
      <c r="T96" s="139">
        <v>34034.741700000006</v>
      </c>
      <c r="U96" s="139">
        <v>42816.830700000006</v>
      </c>
      <c r="V96" s="139">
        <v>18577.173360000001</v>
      </c>
      <c r="W96" s="139">
        <v>9538.2644999999993</v>
      </c>
      <c r="X96" s="139">
        <v>67179.095199999996</v>
      </c>
      <c r="Y96" s="139">
        <v>100197.9418</v>
      </c>
      <c r="Z96" s="139">
        <v>119949.49460000001</v>
      </c>
      <c r="AA96" s="139">
        <v>209332.22756</v>
      </c>
      <c r="AB96" s="139">
        <v>137586.80499999999</v>
      </c>
      <c r="AC96" s="139">
        <v>5858.1481899999999</v>
      </c>
      <c r="AD96" s="139">
        <v>39271.443299999999</v>
      </c>
      <c r="AE96" s="139">
        <v>13774.331109999997</v>
      </c>
      <c r="AF96" s="165">
        <v>18378.973909999997</v>
      </c>
      <c r="AG96" s="157">
        <v>7441.6</v>
      </c>
    </row>
    <row r="97" spans="2:35" ht="15.75" thickBot="1" x14ac:dyDescent="0.3">
      <c r="B97" s="123">
        <f t="shared" si="10"/>
        <v>44286</v>
      </c>
      <c r="C97" s="136">
        <v>238681.85738</v>
      </c>
      <c r="D97" s="136">
        <v>30189.001980000005</v>
      </c>
      <c r="E97" s="136">
        <v>35582.214850000004</v>
      </c>
      <c r="F97" s="136">
        <v>8498.3143499999969</v>
      </c>
      <c r="G97" s="136">
        <v>351899.15448000008</v>
      </c>
      <c r="H97" s="136">
        <v>11778.716049999997</v>
      </c>
      <c r="I97" s="136">
        <v>83365.814129999999</v>
      </c>
      <c r="J97" s="136">
        <v>33915.40628000001</v>
      </c>
      <c r="K97" s="136">
        <v>96943.372399999978</v>
      </c>
      <c r="L97" s="136">
        <v>10948.38183</v>
      </c>
      <c r="M97" s="136">
        <v>39501.044009999998</v>
      </c>
      <c r="N97" s="136">
        <v>0</v>
      </c>
      <c r="O97" s="136">
        <v>9243.39</v>
      </c>
      <c r="P97" s="136">
        <v>3365.3162500000003</v>
      </c>
      <c r="Q97" s="136" t="s">
        <v>168</v>
      </c>
      <c r="R97" s="136">
        <v>7422.762029999998</v>
      </c>
      <c r="S97" s="136">
        <v>105589.2</v>
      </c>
      <c r="T97" s="136">
        <v>31175.262609999998</v>
      </c>
      <c r="U97" s="136">
        <v>91251.92697000003</v>
      </c>
      <c r="V97" s="136">
        <v>11052.394589999996</v>
      </c>
      <c r="W97" s="136">
        <v>10982.357999999998</v>
      </c>
      <c r="X97" s="136">
        <v>29540.523000000001</v>
      </c>
      <c r="Y97" s="136">
        <v>65197.339540000001</v>
      </c>
      <c r="Z97" s="136">
        <v>115010.61825</v>
      </c>
      <c r="AA97" s="136">
        <v>167833.95260000002</v>
      </c>
      <c r="AB97" s="136">
        <v>225045.46805999998</v>
      </c>
      <c r="AC97" s="136">
        <v>64426.891259999975</v>
      </c>
      <c r="AD97" s="136">
        <v>80173.150630000004</v>
      </c>
      <c r="AE97" s="136">
        <v>14668.366430000004</v>
      </c>
      <c r="AF97" s="164">
        <v>29029.163400000009</v>
      </c>
      <c r="AG97" s="156">
        <v>15553.65</v>
      </c>
    </row>
    <row r="98" spans="2:35" x14ac:dyDescent="0.25">
      <c r="B98" s="123">
        <f t="shared" si="10"/>
        <v>44316</v>
      </c>
      <c r="C98" s="142">
        <v>18739.525889999997</v>
      </c>
      <c r="D98" s="142">
        <v>4758.776179999998</v>
      </c>
      <c r="E98" s="142">
        <v>132842.60380000007</v>
      </c>
      <c r="F98" s="142">
        <v>6196.4934500000008</v>
      </c>
      <c r="G98" s="142">
        <v>389110.23547999997</v>
      </c>
      <c r="H98" s="142">
        <v>3765.2505000000001</v>
      </c>
      <c r="I98" s="142">
        <v>78113.903740000009</v>
      </c>
      <c r="J98" s="142">
        <v>10880.803329999999</v>
      </c>
      <c r="K98" s="142">
        <v>26156.191600000006</v>
      </c>
      <c r="L98" s="142">
        <v>7277.2872499999994</v>
      </c>
      <c r="M98" s="142">
        <v>12134.08174</v>
      </c>
      <c r="N98" s="142"/>
      <c r="O98" s="142">
        <v>18035.561999999998</v>
      </c>
      <c r="P98" s="142">
        <v>1982.4003000000002</v>
      </c>
      <c r="Q98" s="142" t="s">
        <v>168</v>
      </c>
      <c r="R98" s="142">
        <v>6491.7485399999996</v>
      </c>
      <c r="S98" s="142">
        <v>99849.2</v>
      </c>
      <c r="T98" s="142">
        <v>19322.540300000004</v>
      </c>
      <c r="U98" s="142">
        <v>99907.615660000025</v>
      </c>
      <c r="V98" s="142">
        <v>10710.410739999998</v>
      </c>
      <c r="W98" s="142">
        <v>18722.198500000002</v>
      </c>
      <c r="X98" s="142">
        <v>27453.462699999996</v>
      </c>
      <c r="Y98" s="142">
        <v>49985.540459999997</v>
      </c>
      <c r="Z98" s="142">
        <v>115001.44620000001</v>
      </c>
      <c r="AA98" s="142">
        <v>158339.54346000002</v>
      </c>
      <c r="AB98" s="142">
        <v>249312.45309999998</v>
      </c>
      <c r="AC98" s="142">
        <v>21222.668189999997</v>
      </c>
      <c r="AD98" s="142">
        <v>117115.64810000003</v>
      </c>
      <c r="AE98" s="142">
        <v>9190.4459500000012</v>
      </c>
      <c r="AF98" s="166">
        <v>2668.0018299999997</v>
      </c>
      <c r="AG98" s="158">
        <v>5088.2334799999999</v>
      </c>
    </row>
    <row r="99" spans="2:35" x14ac:dyDescent="0.25">
      <c r="B99" s="123">
        <f t="shared" si="10"/>
        <v>44347</v>
      </c>
      <c r="C99" s="140">
        <v>50263.21125</v>
      </c>
      <c r="D99" s="140">
        <v>4426.0488800000003</v>
      </c>
      <c r="E99" s="139">
        <v>91905.955549999999</v>
      </c>
      <c r="F99" s="139">
        <v>2956.7157799999995</v>
      </c>
      <c r="G99" s="139">
        <v>200399.79680000001</v>
      </c>
      <c r="H99" s="139">
        <v>5834</v>
      </c>
      <c r="I99" s="139">
        <v>64721.724749999994</v>
      </c>
      <c r="J99" s="139">
        <v>7444.6752500000002</v>
      </c>
      <c r="K99" s="139">
        <v>133135.33420000001</v>
      </c>
      <c r="L99" s="139">
        <v>9760.2829500000007</v>
      </c>
      <c r="M99" s="139">
        <v>12426.91856</v>
      </c>
      <c r="N99" s="139">
        <v>2</v>
      </c>
      <c r="O99" s="139">
        <v>11077.2</v>
      </c>
      <c r="P99" s="139">
        <v>1043.442</v>
      </c>
      <c r="Q99" s="139" t="s">
        <v>168</v>
      </c>
      <c r="R99" s="139">
        <v>1735.1253999999994</v>
      </c>
      <c r="S99" s="139">
        <v>61859</v>
      </c>
      <c r="T99" s="139">
        <v>17821.434100000002</v>
      </c>
      <c r="U99" s="139">
        <v>88982.259500000015</v>
      </c>
      <c r="V99" s="139">
        <v>8094.4041000000007</v>
      </c>
      <c r="W99" s="139">
        <v>5839.1875</v>
      </c>
      <c r="X99" s="139">
        <v>19257.106</v>
      </c>
      <c r="Y99" s="139">
        <v>36911.877</v>
      </c>
      <c r="Z99" s="139">
        <v>70838.727500000008</v>
      </c>
      <c r="AA99" s="139">
        <v>132802.77350000001</v>
      </c>
      <c r="AB99" s="139">
        <v>153391.04149999999</v>
      </c>
      <c r="AC99" s="139">
        <v>17710.076060000007</v>
      </c>
      <c r="AD99" s="139">
        <v>82644.856200000009</v>
      </c>
      <c r="AE99" s="139">
        <v>8241.5773000000008</v>
      </c>
      <c r="AF99" s="165">
        <v>5730.4439999999995</v>
      </c>
      <c r="AG99" s="157">
        <v>1673.35</v>
      </c>
    </row>
    <row r="100" spans="2:35" ht="15.75" thickBot="1" x14ac:dyDescent="0.3">
      <c r="B100" s="123">
        <f t="shared" si="10"/>
        <v>44377</v>
      </c>
      <c r="C100" s="136">
        <v>65364.657720000003</v>
      </c>
      <c r="D100" s="138">
        <v>2842.6634800000002</v>
      </c>
      <c r="E100" s="138">
        <v>44856.910199999998</v>
      </c>
      <c r="F100" s="136">
        <v>5108.0395899999994</v>
      </c>
      <c r="G100" s="136">
        <v>77163.492800000007</v>
      </c>
      <c r="H100" s="136">
        <v>2093</v>
      </c>
      <c r="I100" s="136">
        <v>36610.231650000009</v>
      </c>
      <c r="J100" s="136">
        <v>8453.354470000002</v>
      </c>
      <c r="K100" s="137">
        <v>137300.11319999999</v>
      </c>
      <c r="L100" s="136">
        <v>2366.9441900000002</v>
      </c>
      <c r="M100" s="136">
        <v>14809.644200000004</v>
      </c>
      <c r="N100" s="136">
        <v>371</v>
      </c>
      <c r="O100" s="136">
        <v>5095.7212</v>
      </c>
      <c r="P100" s="136">
        <v>704.47070000000008</v>
      </c>
      <c r="Q100" s="136" t="s">
        <v>168</v>
      </c>
      <c r="R100" s="136">
        <v>650.84100999999998</v>
      </c>
      <c r="S100" s="136">
        <v>21806</v>
      </c>
      <c r="T100" s="136">
        <v>27866.383299999998</v>
      </c>
      <c r="U100" s="136">
        <v>41719.297899999998</v>
      </c>
      <c r="V100" s="136">
        <v>5378.5463300000001</v>
      </c>
      <c r="W100" s="136">
        <v>8833.7210099999993</v>
      </c>
      <c r="X100" s="136">
        <v>11413.920000000002</v>
      </c>
      <c r="Y100" s="136">
        <v>39541.1</v>
      </c>
      <c r="Z100" s="136">
        <v>20112.461660000001</v>
      </c>
      <c r="AA100" s="136">
        <v>50598.033589999999</v>
      </c>
      <c r="AB100" s="136">
        <v>38425.386500000001</v>
      </c>
      <c r="AC100" s="136">
        <v>18537.960129999999</v>
      </c>
      <c r="AD100" s="136">
        <v>17889.024799999999</v>
      </c>
      <c r="AE100" s="136">
        <v>499.79946999999993</v>
      </c>
      <c r="AF100" s="164">
        <v>7313.0559099999991</v>
      </c>
      <c r="AG100" s="156">
        <v>2147.4780000000001</v>
      </c>
    </row>
    <row r="101" spans="2:35" x14ac:dyDescent="0.25">
      <c r="B101" s="123">
        <f t="shared" si="10"/>
        <v>44408</v>
      </c>
      <c r="C101" s="139">
        <v>78694.83</v>
      </c>
      <c r="D101" s="139">
        <v>1556.73</v>
      </c>
      <c r="E101" s="139">
        <v>59903.77</v>
      </c>
      <c r="F101" s="173">
        <v>579.25</v>
      </c>
      <c r="G101" s="139">
        <v>28478.639999999999</v>
      </c>
      <c r="H101" s="139">
        <v>2612.17</v>
      </c>
      <c r="I101" s="139">
        <v>45990.85</v>
      </c>
      <c r="J101" s="139">
        <v>12727.96</v>
      </c>
      <c r="K101" s="139">
        <v>71664.91</v>
      </c>
      <c r="L101" s="139">
        <v>3392.08</v>
      </c>
      <c r="M101" s="139">
        <v>19276.37</v>
      </c>
      <c r="N101" s="139">
        <v>0</v>
      </c>
      <c r="O101" s="139">
        <v>7859.37</v>
      </c>
      <c r="P101" s="139">
        <v>658.93</v>
      </c>
      <c r="Q101" s="139">
        <v>0</v>
      </c>
      <c r="R101" s="139">
        <v>596.04</v>
      </c>
      <c r="S101" s="139">
        <v>13450</v>
      </c>
      <c r="T101" s="139">
        <v>23431.84</v>
      </c>
      <c r="U101" s="139">
        <v>79888.87</v>
      </c>
      <c r="V101" s="139">
        <v>4029.86</v>
      </c>
      <c r="W101" s="139">
        <v>4795.5600000000004</v>
      </c>
      <c r="X101" s="139">
        <v>17114.560000000001</v>
      </c>
      <c r="Y101" s="139">
        <v>30902.48</v>
      </c>
      <c r="Z101" s="139">
        <v>10030.6</v>
      </c>
      <c r="AA101" s="139">
        <v>24027.4</v>
      </c>
      <c r="AB101" s="139">
        <v>18279.16</v>
      </c>
      <c r="AC101" s="139">
        <v>35845.040000000001</v>
      </c>
      <c r="AD101" s="139">
        <v>69873.02</v>
      </c>
      <c r="AE101" s="139">
        <v>1049.82</v>
      </c>
      <c r="AF101" s="111">
        <v>7601.27</v>
      </c>
      <c r="AG101" s="183">
        <v>1491</v>
      </c>
      <c r="AH101" s="183">
        <v>938.91</v>
      </c>
      <c r="AI101" s="183">
        <v>395.29</v>
      </c>
    </row>
    <row r="102" spans="2:35" x14ac:dyDescent="0.25">
      <c r="B102" s="123">
        <f t="shared" si="10"/>
        <v>44439</v>
      </c>
      <c r="C102" s="139">
        <v>70312.479999999996</v>
      </c>
      <c r="D102" s="139">
        <v>1478.1385</v>
      </c>
      <c r="E102" s="139">
        <v>10334.77</v>
      </c>
      <c r="F102" s="139">
        <v>176.42</v>
      </c>
      <c r="G102" s="139">
        <v>23329.27</v>
      </c>
      <c r="H102" s="139">
        <v>4140.3599999999997</v>
      </c>
      <c r="I102" s="139">
        <v>5061.41</v>
      </c>
      <c r="J102" s="139">
        <v>1571.42</v>
      </c>
      <c r="K102" s="139">
        <v>61044.72</v>
      </c>
      <c r="L102" s="139">
        <v>1153.04</v>
      </c>
      <c r="M102" s="139">
        <v>1727.2</v>
      </c>
      <c r="N102" s="139">
        <v>0</v>
      </c>
      <c r="O102" s="139">
        <v>13691.04</v>
      </c>
      <c r="P102" s="139">
        <v>42258.87</v>
      </c>
      <c r="Q102" s="139">
        <v>21995.43</v>
      </c>
      <c r="R102" s="139">
        <v>612.79</v>
      </c>
      <c r="S102" s="139">
        <v>13253.41</v>
      </c>
      <c r="T102" s="139">
        <v>3851.04</v>
      </c>
      <c r="U102" s="139">
        <v>33526.03</v>
      </c>
      <c r="V102" s="139">
        <v>1553.42</v>
      </c>
      <c r="W102" s="139">
        <v>5252.87</v>
      </c>
      <c r="X102" s="139">
        <v>8532.64</v>
      </c>
      <c r="Y102" s="139">
        <v>23971.63</v>
      </c>
      <c r="Z102" s="139">
        <v>13.29</v>
      </c>
      <c r="AA102" s="139">
        <v>2312.09</v>
      </c>
      <c r="AB102" s="139">
        <v>29353.25</v>
      </c>
      <c r="AC102" s="139">
        <v>9654.2900000000009</v>
      </c>
      <c r="AD102" s="139">
        <v>29928.37</v>
      </c>
      <c r="AE102" s="139">
        <v>89.93</v>
      </c>
      <c r="AF102" s="111">
        <v>235.77</v>
      </c>
      <c r="AG102" s="181">
        <v>0</v>
      </c>
      <c r="AH102" s="181">
        <v>43.3</v>
      </c>
      <c r="AI102" s="181">
        <v>1.04</v>
      </c>
    </row>
    <row r="103" spans="2:35" ht="15.75" thickBot="1" x14ac:dyDescent="0.3">
      <c r="B103" s="123">
        <f t="shared" si="10"/>
        <v>44469</v>
      </c>
      <c r="C103" s="136">
        <v>760.54</v>
      </c>
      <c r="D103" s="136">
        <v>995.21</v>
      </c>
      <c r="E103" s="136">
        <v>0</v>
      </c>
      <c r="F103" s="136">
        <v>1133.55</v>
      </c>
      <c r="G103" s="136">
        <v>102174.34</v>
      </c>
      <c r="H103" s="136">
        <v>1054.79</v>
      </c>
      <c r="I103" s="136">
        <v>38321.620000000003</v>
      </c>
      <c r="J103" s="136">
        <v>2781.48</v>
      </c>
      <c r="K103" s="136">
        <v>20537.57</v>
      </c>
      <c r="L103" s="136">
        <v>9867.98</v>
      </c>
      <c r="M103" s="136">
        <v>3308.56</v>
      </c>
      <c r="N103" s="136">
        <v>0</v>
      </c>
      <c r="O103" s="136">
        <v>5917.96</v>
      </c>
      <c r="P103" s="136">
        <v>447.76</v>
      </c>
      <c r="Q103" s="136">
        <v>0</v>
      </c>
      <c r="R103" s="136">
        <v>22743.79</v>
      </c>
      <c r="S103" s="136">
        <v>28385.200000000001</v>
      </c>
      <c r="T103" s="136">
        <v>7593.16</v>
      </c>
      <c r="U103" s="136">
        <v>31497.81</v>
      </c>
      <c r="V103" s="136">
        <v>1665.78</v>
      </c>
      <c r="W103" s="136">
        <v>3022.7</v>
      </c>
      <c r="X103" s="136">
        <v>14719.65</v>
      </c>
      <c r="Y103" s="136">
        <v>42012.35</v>
      </c>
      <c r="Z103" s="136">
        <v>17408.29</v>
      </c>
      <c r="AA103" s="136">
        <v>45826.52</v>
      </c>
      <c r="AB103" s="136">
        <v>51761</v>
      </c>
      <c r="AC103" s="136">
        <v>3462.78</v>
      </c>
      <c r="AD103" s="136">
        <v>25422.53</v>
      </c>
      <c r="AE103" s="136">
        <v>947.38</v>
      </c>
      <c r="AF103" s="108">
        <v>129.16999999999999</v>
      </c>
      <c r="AG103" s="182">
        <v>0</v>
      </c>
      <c r="AH103" s="182">
        <v>3.22</v>
      </c>
      <c r="AI103" s="182">
        <v>96.51</v>
      </c>
    </row>
    <row r="104" spans="2:35" x14ac:dyDescent="0.25">
      <c r="B104" s="123">
        <f t="shared" si="10"/>
        <v>44500</v>
      </c>
      <c r="C104" s="147">
        <v>70410.77</v>
      </c>
      <c r="D104" s="147">
        <v>850.46</v>
      </c>
      <c r="E104" s="147">
        <v>0</v>
      </c>
      <c r="F104" s="147">
        <v>1672.55</v>
      </c>
      <c r="G104" s="147">
        <v>272399.57</v>
      </c>
      <c r="H104" s="147">
        <v>2735.83</v>
      </c>
      <c r="I104" s="147">
        <v>13610.98</v>
      </c>
      <c r="J104" s="147">
        <v>4235.8100000000004</v>
      </c>
      <c r="K104" s="147">
        <v>56523.360000000001</v>
      </c>
      <c r="L104" s="147">
        <v>4019.24</v>
      </c>
      <c r="M104" s="147">
        <v>17000.099999999999</v>
      </c>
      <c r="N104" s="147">
        <v>0</v>
      </c>
      <c r="O104" s="147">
        <v>21369.11</v>
      </c>
      <c r="P104" s="147">
        <v>307.92</v>
      </c>
      <c r="Q104" s="147">
        <v>218.08</v>
      </c>
      <c r="R104" s="147">
        <v>13058.28</v>
      </c>
      <c r="S104" s="147">
        <v>69298.2</v>
      </c>
      <c r="T104" s="147">
        <v>340.94</v>
      </c>
      <c r="U104" s="147">
        <v>35957.82</v>
      </c>
      <c r="V104" s="147">
        <v>2090.79</v>
      </c>
      <c r="W104" s="147">
        <v>2443.96</v>
      </c>
      <c r="X104" s="147">
        <v>17974.080000000002</v>
      </c>
      <c r="Y104" s="147">
        <v>118772.08</v>
      </c>
      <c r="Z104" s="147">
        <v>69833.289999999994</v>
      </c>
      <c r="AA104" s="147">
        <v>159954.39000000001</v>
      </c>
      <c r="AB104" s="147">
        <v>106285.72</v>
      </c>
      <c r="AC104" s="147">
        <v>2274.6</v>
      </c>
      <c r="AD104" s="147">
        <v>30314.15</v>
      </c>
      <c r="AE104" s="147">
        <v>754.14</v>
      </c>
      <c r="AF104" s="91">
        <v>84.17</v>
      </c>
      <c r="AG104" s="180">
        <v>150</v>
      </c>
      <c r="AH104" s="180">
        <v>30.84</v>
      </c>
      <c r="AI104" s="180">
        <v>162.81</v>
      </c>
    </row>
    <row r="105" spans="2:35" x14ac:dyDescent="0.25">
      <c r="B105" s="123">
        <f t="shared" si="10"/>
        <v>44530</v>
      </c>
      <c r="C105" s="139">
        <v>48489.883999999998</v>
      </c>
      <c r="D105" s="139">
        <v>8346.19</v>
      </c>
      <c r="E105" s="139">
        <v>0</v>
      </c>
      <c r="F105" s="139">
        <v>2252.88</v>
      </c>
      <c r="G105" s="139">
        <v>468267.69</v>
      </c>
      <c r="H105" s="139">
        <v>5730.52</v>
      </c>
      <c r="I105" s="139">
        <v>18625.740000000002</v>
      </c>
      <c r="J105" s="139">
        <v>45952.959999999999</v>
      </c>
      <c r="K105" s="139">
        <v>150</v>
      </c>
      <c r="L105" s="139">
        <v>4140.46</v>
      </c>
      <c r="M105" s="139">
        <v>5659.5</v>
      </c>
      <c r="N105" s="139">
        <v>0</v>
      </c>
      <c r="O105" s="139">
        <v>27931.52</v>
      </c>
      <c r="P105" s="139">
        <v>769.59</v>
      </c>
      <c r="Q105" s="139">
        <v>0</v>
      </c>
      <c r="R105" s="139">
        <v>2454.21</v>
      </c>
      <c r="S105" s="139">
        <v>144128</v>
      </c>
      <c r="T105" s="139">
        <v>3679</v>
      </c>
      <c r="U105" s="139">
        <v>6520.86</v>
      </c>
      <c r="V105" s="139">
        <v>27173.07</v>
      </c>
      <c r="W105" s="139">
        <v>7620.94</v>
      </c>
      <c r="X105" s="139">
        <v>58155.78</v>
      </c>
      <c r="Y105" s="139">
        <v>112707.43</v>
      </c>
      <c r="Z105" s="139">
        <v>115084.75</v>
      </c>
      <c r="AA105" s="139">
        <v>303130.42</v>
      </c>
      <c r="AB105" s="139">
        <v>167143.46</v>
      </c>
      <c r="AC105" s="139">
        <v>3473.31</v>
      </c>
      <c r="AD105" s="139">
        <v>49842.9</v>
      </c>
      <c r="AE105" s="139">
        <v>659.62</v>
      </c>
      <c r="AF105" s="111">
        <v>227.51</v>
      </c>
      <c r="AG105" s="181">
        <v>17911</v>
      </c>
      <c r="AH105" s="181">
        <v>50.47</v>
      </c>
      <c r="AI105" s="181">
        <v>288.83999999999997</v>
      </c>
    </row>
    <row r="106" spans="2:35" ht="15.75" thickBot="1" x14ac:dyDescent="0.3">
      <c r="B106" s="123">
        <f t="shared" si="10"/>
        <v>44561</v>
      </c>
      <c r="C106" s="136">
        <v>21650.16</v>
      </c>
      <c r="D106" s="136">
        <v>834.28</v>
      </c>
      <c r="E106" s="136">
        <v>3211.79</v>
      </c>
      <c r="F106" s="136">
        <v>2353.8000000000002</v>
      </c>
      <c r="G106" s="136">
        <v>470441.2</v>
      </c>
      <c r="H106" s="136">
        <v>3876.66</v>
      </c>
      <c r="I106" s="136">
        <v>50029.27</v>
      </c>
      <c r="J106" s="136">
        <v>3845.96</v>
      </c>
      <c r="K106" s="136">
        <v>60</v>
      </c>
      <c r="L106" s="136">
        <v>5008.21</v>
      </c>
      <c r="M106" s="136">
        <v>11309.28</v>
      </c>
      <c r="N106" s="136">
        <v>0</v>
      </c>
      <c r="O106" s="136">
        <v>4185.1899999999996</v>
      </c>
      <c r="P106" s="136">
        <v>1342.68</v>
      </c>
      <c r="Q106" s="136">
        <v>0</v>
      </c>
      <c r="R106" s="136">
        <v>3143.47</v>
      </c>
      <c r="S106" s="136">
        <v>166362.29999999999</v>
      </c>
      <c r="T106" s="136">
        <v>4103.5</v>
      </c>
      <c r="U106" s="136">
        <v>6034.6</v>
      </c>
      <c r="V106" s="136">
        <v>2579.5300000000002</v>
      </c>
      <c r="W106" s="136">
        <v>2464.04</v>
      </c>
      <c r="X106" s="136">
        <v>71390.289999999994</v>
      </c>
      <c r="Y106" s="136">
        <v>157733.69</v>
      </c>
      <c r="Z106" s="136">
        <v>130010</v>
      </c>
      <c r="AA106" s="136">
        <v>284822.69</v>
      </c>
      <c r="AB106" s="136">
        <v>132147.54999999999</v>
      </c>
      <c r="AC106" s="136">
        <v>6123.23</v>
      </c>
      <c r="AD106" s="136">
        <v>1043</v>
      </c>
      <c r="AE106" s="136">
        <v>675.01</v>
      </c>
      <c r="AF106" s="164">
        <v>2447.2199999999998</v>
      </c>
      <c r="AG106" s="182">
        <v>1041</v>
      </c>
      <c r="AH106" s="182">
        <v>323.14999999999998</v>
      </c>
      <c r="AI106" s="182">
        <v>21.57</v>
      </c>
    </row>
    <row r="107" spans="2:35" x14ac:dyDescent="0.25">
      <c r="B107" s="123">
        <f t="shared" si="10"/>
        <v>44592</v>
      </c>
      <c r="C107" s="142">
        <v>89004.26</v>
      </c>
      <c r="D107" s="142">
        <v>11369.08</v>
      </c>
      <c r="E107" s="142">
        <v>21085.4</v>
      </c>
      <c r="F107" s="142">
        <v>6127</v>
      </c>
      <c r="G107" s="142">
        <v>452766.92</v>
      </c>
      <c r="H107" s="142">
        <v>7320.86</v>
      </c>
      <c r="I107" s="142">
        <v>79249.06</v>
      </c>
      <c r="J107" s="142">
        <v>14270.72</v>
      </c>
      <c r="K107" s="142">
        <v>47930.6</v>
      </c>
      <c r="L107" s="142">
        <v>9462.3799999999992</v>
      </c>
      <c r="M107" s="142">
        <v>31732.5</v>
      </c>
      <c r="N107" s="142">
        <v>0</v>
      </c>
      <c r="O107" s="142">
        <v>8150.54</v>
      </c>
      <c r="P107" s="142">
        <v>4107.91</v>
      </c>
      <c r="Q107" s="142">
        <v>0</v>
      </c>
      <c r="R107" s="142">
        <v>14851.32</v>
      </c>
      <c r="S107" s="142">
        <v>161757.20000000001</v>
      </c>
      <c r="T107" s="142">
        <v>11162.35</v>
      </c>
      <c r="U107" s="142">
        <v>31072.34</v>
      </c>
      <c r="V107" s="142">
        <v>26305.02</v>
      </c>
      <c r="W107" s="142">
        <v>21813.71</v>
      </c>
      <c r="X107" s="142">
        <v>76398.759999999995</v>
      </c>
      <c r="Y107" s="142">
        <v>136240.73000000001</v>
      </c>
      <c r="Z107" s="142">
        <v>104833.29</v>
      </c>
      <c r="AA107" s="142">
        <v>236719.37</v>
      </c>
      <c r="AB107" s="142">
        <v>105749</v>
      </c>
      <c r="AC107" s="142">
        <v>33404.53</v>
      </c>
      <c r="AD107" s="142">
        <v>20878.46</v>
      </c>
      <c r="AE107" s="142">
        <v>3090.05</v>
      </c>
      <c r="AF107" s="166">
        <v>9189.41</v>
      </c>
      <c r="AG107" s="180">
        <v>22201</v>
      </c>
      <c r="AH107" s="180">
        <v>1255.73</v>
      </c>
      <c r="AI107" s="180">
        <v>961.87</v>
      </c>
    </row>
    <row r="108" spans="2:35" x14ac:dyDescent="0.25">
      <c r="B108" s="123">
        <f t="shared" si="10"/>
        <v>44620</v>
      </c>
      <c r="C108" s="139">
        <v>26821.91</v>
      </c>
      <c r="D108" s="139">
        <v>25405.73</v>
      </c>
      <c r="E108" s="139">
        <v>14107.6</v>
      </c>
      <c r="F108" s="139">
        <v>9209.65</v>
      </c>
      <c r="G108" s="139">
        <v>454712.91</v>
      </c>
      <c r="H108" s="139">
        <v>21353.54</v>
      </c>
      <c r="I108" s="139">
        <v>72535.53</v>
      </c>
      <c r="J108" s="139">
        <v>6461.51</v>
      </c>
      <c r="K108" s="139">
        <v>32273.51</v>
      </c>
      <c r="L108" s="139">
        <v>6405.39</v>
      </c>
      <c r="M108" s="139">
        <v>4747.4690000000001</v>
      </c>
      <c r="N108" s="139">
        <v>0</v>
      </c>
      <c r="O108" s="139">
        <v>18938.310000000001</v>
      </c>
      <c r="P108" s="139">
        <v>2804.73</v>
      </c>
      <c r="Q108" s="139">
        <v>0</v>
      </c>
      <c r="R108" s="139">
        <v>7277.72</v>
      </c>
      <c r="S108" s="139">
        <v>144236.4</v>
      </c>
      <c r="T108" s="139">
        <v>42131.5</v>
      </c>
      <c r="U108" s="139">
        <v>39985.32</v>
      </c>
      <c r="V108" s="139">
        <v>13483.12</v>
      </c>
      <c r="W108" s="139">
        <v>11935.24</v>
      </c>
      <c r="X108" s="139">
        <v>11944.8</v>
      </c>
      <c r="Y108" s="139">
        <v>55727.9</v>
      </c>
      <c r="Z108" s="139">
        <v>100003.29</v>
      </c>
      <c r="AA108" s="139">
        <v>222686.41</v>
      </c>
      <c r="AB108" s="139">
        <v>37040.910000000003</v>
      </c>
      <c r="AC108" s="139">
        <v>73229.3</v>
      </c>
      <c r="AD108" s="139">
        <v>24828.720000000001</v>
      </c>
      <c r="AE108" s="139">
        <v>13959.32</v>
      </c>
      <c r="AF108" s="165">
        <v>3090.71</v>
      </c>
      <c r="AG108" s="181">
        <v>647</v>
      </c>
      <c r="AH108" s="181">
        <v>415.69</v>
      </c>
      <c r="AI108" s="181">
        <v>696.89</v>
      </c>
    </row>
    <row r="109" spans="2:35" ht="15.75" thickBot="1" x14ac:dyDescent="0.3">
      <c r="B109" s="123">
        <f t="shared" si="10"/>
        <v>44651</v>
      </c>
      <c r="C109" s="136">
        <v>151415.95000000001</v>
      </c>
      <c r="D109" s="136">
        <v>12224.39</v>
      </c>
      <c r="E109" s="136">
        <v>115260.55</v>
      </c>
      <c r="F109" s="136">
        <v>7984.14</v>
      </c>
      <c r="G109" s="136">
        <v>379058.19</v>
      </c>
      <c r="H109" s="136">
        <v>8784</v>
      </c>
      <c r="I109" s="136">
        <v>62116</v>
      </c>
      <c r="J109" s="136">
        <v>7893.2</v>
      </c>
      <c r="K109" s="136">
        <v>84139.91</v>
      </c>
      <c r="L109" s="136">
        <v>5670.63</v>
      </c>
      <c r="M109" s="136">
        <v>8997.27</v>
      </c>
      <c r="N109" s="136">
        <v>0</v>
      </c>
      <c r="O109" s="136">
        <v>15757.63</v>
      </c>
      <c r="P109" s="136">
        <v>4779.71</v>
      </c>
      <c r="Q109" s="136">
        <v>0</v>
      </c>
      <c r="R109" s="136">
        <v>9414.09</v>
      </c>
      <c r="S109" s="136">
        <v>116818.2</v>
      </c>
      <c r="T109" s="136">
        <v>28573.62</v>
      </c>
      <c r="U109" s="136">
        <v>62297.59</v>
      </c>
      <c r="V109" s="136">
        <v>12749.27</v>
      </c>
      <c r="W109" s="136">
        <v>7152.09</v>
      </c>
      <c r="X109" s="136">
        <v>8633.65</v>
      </c>
      <c r="Y109" s="136">
        <v>106996.05</v>
      </c>
      <c r="Z109" s="136">
        <v>114897.47</v>
      </c>
      <c r="AA109" s="136">
        <v>182743.37</v>
      </c>
      <c r="AB109" s="136">
        <v>205899.23</v>
      </c>
      <c r="AC109" s="136">
        <v>41296</v>
      </c>
      <c r="AD109" s="136">
        <v>19032.810000000001</v>
      </c>
      <c r="AE109" s="136">
        <v>8784.2800000000007</v>
      </c>
      <c r="AF109" s="164">
        <v>6160.65</v>
      </c>
      <c r="AG109" s="182">
        <v>2709</v>
      </c>
      <c r="AH109" s="182">
        <v>856.6</v>
      </c>
      <c r="AI109" s="182">
        <v>1050.73</v>
      </c>
    </row>
    <row r="110" spans="2:35" x14ac:dyDescent="0.25">
      <c r="B110" s="123">
        <f t="shared" si="10"/>
        <v>44681</v>
      </c>
      <c r="C110" s="142">
        <v>39765.61</v>
      </c>
      <c r="D110" s="142">
        <v>2335.89</v>
      </c>
      <c r="E110" s="142">
        <v>28549.38</v>
      </c>
      <c r="F110" s="142">
        <v>6343.68</v>
      </c>
      <c r="G110" s="142">
        <v>341096.98</v>
      </c>
      <c r="H110" s="142">
        <v>4967.5200000000004</v>
      </c>
      <c r="I110" s="142">
        <v>62735.7</v>
      </c>
      <c r="J110" s="142">
        <v>9928.44</v>
      </c>
      <c r="K110" s="142">
        <v>25611.21</v>
      </c>
      <c r="L110" s="142">
        <v>8931.8799999999992</v>
      </c>
      <c r="M110" s="142">
        <v>26915.85</v>
      </c>
      <c r="N110" s="142">
        <v>0</v>
      </c>
      <c r="O110" s="142">
        <v>8131.47</v>
      </c>
      <c r="P110" s="142">
        <v>2189.73</v>
      </c>
      <c r="Q110" s="142">
        <v>0</v>
      </c>
      <c r="R110" s="142">
        <v>3814.07</v>
      </c>
      <c r="S110" s="142">
        <v>88455</v>
      </c>
      <c r="T110" s="142">
        <v>22424.92</v>
      </c>
      <c r="U110" s="142">
        <v>38103.06</v>
      </c>
      <c r="V110" s="142">
        <v>7284.29</v>
      </c>
      <c r="W110" s="142">
        <v>4139.6499999999996</v>
      </c>
      <c r="X110" s="142">
        <v>1738.55</v>
      </c>
      <c r="Y110" s="142">
        <v>76520.95</v>
      </c>
      <c r="Z110" s="142">
        <v>104998.29</v>
      </c>
      <c r="AA110" s="142">
        <v>132167.73000000001</v>
      </c>
      <c r="AB110" s="142">
        <v>246739.29</v>
      </c>
      <c r="AC110" s="142">
        <v>21420.36</v>
      </c>
      <c r="AD110" s="142">
        <v>37442.97</v>
      </c>
      <c r="AE110" s="142">
        <v>3250.86</v>
      </c>
      <c r="AF110" s="166">
        <v>4250.79</v>
      </c>
      <c r="AG110" s="180">
        <v>3855</v>
      </c>
      <c r="AH110" s="180">
        <v>2719.72</v>
      </c>
      <c r="AI110" s="180">
        <v>986.09</v>
      </c>
    </row>
    <row r="111" spans="2:35" x14ac:dyDescent="0.25">
      <c r="B111" s="123">
        <f t="shared" si="10"/>
        <v>44712</v>
      </c>
      <c r="C111" s="140">
        <v>3995.95</v>
      </c>
      <c r="D111" s="140">
        <v>1907.53</v>
      </c>
      <c r="E111" s="139">
        <v>25034.99</v>
      </c>
      <c r="F111" s="139">
        <v>4041.27</v>
      </c>
      <c r="G111" s="139">
        <v>197837.55</v>
      </c>
      <c r="H111" s="139">
        <v>4801.78</v>
      </c>
      <c r="I111" s="139">
        <v>43932.62</v>
      </c>
      <c r="J111" s="139">
        <v>5986.19</v>
      </c>
      <c r="K111" s="139">
        <v>57474.32</v>
      </c>
      <c r="L111" s="139">
        <v>3681.06</v>
      </c>
      <c r="M111" s="139">
        <v>17568.835500000001</v>
      </c>
      <c r="N111" s="139">
        <v>0</v>
      </c>
      <c r="O111" s="139">
        <v>9252.7800000000007</v>
      </c>
      <c r="P111" s="139">
        <v>898.93</v>
      </c>
      <c r="Q111" s="139">
        <v>0</v>
      </c>
      <c r="R111" s="139">
        <v>1275.52</v>
      </c>
      <c r="S111" s="139">
        <v>54626.2</v>
      </c>
      <c r="T111" s="139">
        <v>12594.43</v>
      </c>
      <c r="U111" s="139">
        <v>56917.99</v>
      </c>
      <c r="V111" s="139">
        <v>6619.32</v>
      </c>
      <c r="W111" s="139">
        <v>5289.88</v>
      </c>
      <c r="X111" s="139">
        <v>3639.38</v>
      </c>
      <c r="Y111" s="139">
        <v>98978.36</v>
      </c>
      <c r="Z111" s="139">
        <v>70008.289999999994</v>
      </c>
      <c r="AA111" s="139">
        <v>150839.01</v>
      </c>
      <c r="AB111" s="139">
        <v>152803.5</v>
      </c>
      <c r="AC111" s="139">
        <v>2321.77</v>
      </c>
      <c r="AD111" s="139">
        <v>37761.839999999997</v>
      </c>
      <c r="AE111" s="139">
        <v>29084.87</v>
      </c>
      <c r="AF111" s="165">
        <v>529.73</v>
      </c>
      <c r="AG111" s="181">
        <v>0</v>
      </c>
      <c r="AH111" s="181">
        <v>37.130000000000003</v>
      </c>
      <c r="AI111" s="181">
        <v>30.71</v>
      </c>
    </row>
    <row r="112" spans="2:35" ht="15.75" thickBot="1" x14ac:dyDescent="0.3">
      <c r="B112" s="123">
        <f t="shared" si="10"/>
        <v>44742</v>
      </c>
      <c r="C112" s="136">
        <v>89833.47</v>
      </c>
      <c r="D112" s="138">
        <v>1112.79</v>
      </c>
      <c r="E112" s="138">
        <v>28118.42</v>
      </c>
      <c r="F112" s="136">
        <v>2716.74</v>
      </c>
      <c r="G112" s="136">
        <v>27722.32</v>
      </c>
      <c r="H112" s="136">
        <v>25468.14</v>
      </c>
      <c r="I112" s="136">
        <v>31128.400000000001</v>
      </c>
      <c r="J112" s="136">
        <v>9243.51</v>
      </c>
      <c r="K112" s="137">
        <v>23013.86</v>
      </c>
      <c r="L112" s="136">
        <v>7571.29</v>
      </c>
      <c r="M112" s="136">
        <v>4492.57</v>
      </c>
      <c r="N112" s="136">
        <v>0</v>
      </c>
      <c r="O112" s="136">
        <v>63090.55</v>
      </c>
      <c r="P112" s="136">
        <v>228.75</v>
      </c>
      <c r="Q112" s="136">
        <v>0</v>
      </c>
      <c r="R112" s="136">
        <v>894.29</v>
      </c>
      <c r="S112" s="136">
        <v>9050.5</v>
      </c>
      <c r="T112" s="136">
        <v>6876.11</v>
      </c>
      <c r="U112" s="136">
        <v>13839.72</v>
      </c>
      <c r="V112" s="136">
        <v>6463.59</v>
      </c>
      <c r="W112" s="136">
        <v>4501.53</v>
      </c>
      <c r="X112" s="136">
        <v>0</v>
      </c>
      <c r="Y112" s="136">
        <v>80445</v>
      </c>
      <c r="Z112" s="136">
        <v>10000</v>
      </c>
      <c r="AA112" s="136">
        <v>1007.43</v>
      </c>
      <c r="AB112" s="136">
        <v>37858.199999999997</v>
      </c>
      <c r="AC112" s="136">
        <v>20656.59</v>
      </c>
      <c r="AD112" s="136">
        <v>12080.14</v>
      </c>
      <c r="AE112" s="136">
        <v>2126.48</v>
      </c>
      <c r="AF112" s="164">
        <v>10086.299999999999</v>
      </c>
      <c r="AG112" s="182">
        <v>1641</v>
      </c>
      <c r="AH112" s="182">
        <v>401.89</v>
      </c>
      <c r="AI112" s="182">
        <v>595.33000000000004</v>
      </c>
    </row>
    <row r="113" spans="2:35" x14ac:dyDescent="0.25">
      <c r="B113" s="123">
        <f t="shared" si="10"/>
        <v>44773</v>
      </c>
      <c r="C113" s="139">
        <v>743</v>
      </c>
      <c r="D113" s="139">
        <v>345</v>
      </c>
      <c r="E113" s="139">
        <v>19425</v>
      </c>
      <c r="F113" s="173">
        <v>7</v>
      </c>
      <c r="G113" s="139">
        <v>14060</v>
      </c>
      <c r="H113" s="139">
        <v>4393</v>
      </c>
      <c r="I113" s="139">
        <v>28295</v>
      </c>
      <c r="J113" s="139">
        <v>2133</v>
      </c>
      <c r="K113" s="139">
        <v>53470</v>
      </c>
      <c r="L113" s="139">
        <v>2363</v>
      </c>
      <c r="M113" s="139">
        <v>3077</v>
      </c>
      <c r="N113" s="139">
        <v>0</v>
      </c>
      <c r="O113" s="139">
        <v>3191</v>
      </c>
      <c r="P113" s="139">
        <v>374</v>
      </c>
      <c r="Q113" s="139">
        <v>0</v>
      </c>
      <c r="R113" s="139">
        <v>504</v>
      </c>
      <c r="S113" s="139">
        <v>6656</v>
      </c>
      <c r="T113" s="139">
        <v>7332</v>
      </c>
      <c r="U113" s="139">
        <v>45337</v>
      </c>
      <c r="V113" s="139">
        <v>4977</v>
      </c>
      <c r="W113" s="139">
        <v>3169</v>
      </c>
      <c r="X113" s="139">
        <v>0</v>
      </c>
      <c r="Y113" s="139">
        <v>12843</v>
      </c>
      <c r="Z113" s="139">
        <v>9998</v>
      </c>
      <c r="AA113" s="139">
        <v>10274</v>
      </c>
      <c r="AB113" s="139">
        <v>12584</v>
      </c>
      <c r="AC113" s="139">
        <v>5965</v>
      </c>
      <c r="AD113" s="139">
        <v>40973</v>
      </c>
      <c r="AE113" s="139">
        <v>1599</v>
      </c>
      <c r="AF113" s="111">
        <v>133</v>
      </c>
      <c r="AG113" s="183">
        <v>0</v>
      </c>
      <c r="AH113" s="183">
        <v>11</v>
      </c>
      <c r="AI113" s="183">
        <v>1</v>
      </c>
    </row>
    <row r="114" spans="2:35" x14ac:dyDescent="0.25">
      <c r="B114" s="123">
        <f t="shared" si="10"/>
        <v>44804</v>
      </c>
      <c r="C114" s="139">
        <v>308</v>
      </c>
      <c r="D114" s="139">
        <v>77</v>
      </c>
      <c r="E114" s="139">
        <v>13275</v>
      </c>
      <c r="F114" s="139">
        <v>516</v>
      </c>
      <c r="G114" s="139">
        <v>22208</v>
      </c>
      <c r="H114" s="139">
        <v>1084</v>
      </c>
      <c r="I114" s="139">
        <v>20279</v>
      </c>
      <c r="J114" s="139">
        <v>1285</v>
      </c>
      <c r="K114" s="139">
        <v>27332</v>
      </c>
      <c r="L114" s="139">
        <v>5396</v>
      </c>
      <c r="M114" s="139">
        <v>77</v>
      </c>
      <c r="N114" s="139">
        <v>0</v>
      </c>
      <c r="O114" s="139">
        <v>3823</v>
      </c>
      <c r="P114" s="139">
        <v>366</v>
      </c>
      <c r="Q114" s="139">
        <v>0</v>
      </c>
      <c r="R114" s="139">
        <v>223</v>
      </c>
      <c r="S114" s="139">
        <v>12818</v>
      </c>
      <c r="T114" s="139">
        <v>2205</v>
      </c>
      <c r="U114" s="139">
        <v>18836</v>
      </c>
      <c r="V114" s="139">
        <v>4512</v>
      </c>
      <c r="W114" s="139">
        <v>5247</v>
      </c>
      <c r="X114" s="139">
        <v>4001</v>
      </c>
      <c r="Y114" s="139">
        <v>69757</v>
      </c>
      <c r="Z114" s="139">
        <v>106</v>
      </c>
      <c r="AA114" s="139">
        <v>12111</v>
      </c>
      <c r="AB114" s="139">
        <v>9700</v>
      </c>
      <c r="AC114" s="139">
        <v>5762</v>
      </c>
      <c r="AD114" s="139">
        <v>16778</v>
      </c>
      <c r="AE114" s="139">
        <v>1117</v>
      </c>
      <c r="AF114" s="111">
        <v>110</v>
      </c>
      <c r="AG114" s="181">
        <v>0</v>
      </c>
      <c r="AH114" s="181">
        <v>631</v>
      </c>
      <c r="AI114" s="181">
        <v>2</v>
      </c>
    </row>
    <row r="115" spans="2:35" ht="15.75" thickBot="1" x14ac:dyDescent="0.3">
      <c r="B115" s="123">
        <f t="shared" si="10"/>
        <v>44834</v>
      </c>
      <c r="C115" s="136">
        <v>272</v>
      </c>
      <c r="D115" s="136">
        <v>142</v>
      </c>
      <c r="E115" s="136">
        <v>0</v>
      </c>
      <c r="F115" s="136">
        <v>600</v>
      </c>
      <c r="G115" s="136">
        <v>70388</v>
      </c>
      <c r="H115" s="136">
        <v>19221</v>
      </c>
      <c r="I115" s="136">
        <v>11225</v>
      </c>
      <c r="J115" s="136">
        <v>695</v>
      </c>
      <c r="K115" s="136">
        <v>16710</v>
      </c>
      <c r="L115" s="136">
        <v>3521</v>
      </c>
      <c r="M115" s="136">
        <v>9957</v>
      </c>
      <c r="N115" s="136">
        <v>0</v>
      </c>
      <c r="O115" s="136">
        <v>11561</v>
      </c>
      <c r="P115" s="136">
        <v>582</v>
      </c>
      <c r="Q115" s="136">
        <v>0</v>
      </c>
      <c r="R115" s="136">
        <v>1473</v>
      </c>
      <c r="S115" s="136">
        <v>15034</v>
      </c>
      <c r="T115" s="136">
        <v>12433</v>
      </c>
      <c r="U115" s="136">
        <v>9775</v>
      </c>
      <c r="V115" s="136">
        <v>1937</v>
      </c>
      <c r="W115" s="136">
        <v>8122</v>
      </c>
      <c r="X115" s="136">
        <v>6658</v>
      </c>
      <c r="Y115" s="136">
        <v>37369</v>
      </c>
      <c r="Z115" s="136">
        <v>25064</v>
      </c>
      <c r="AA115" s="136">
        <v>29048</v>
      </c>
      <c r="AB115" s="136">
        <v>54170</v>
      </c>
      <c r="AC115" s="136">
        <v>2522</v>
      </c>
      <c r="AD115" s="136">
        <v>8429</v>
      </c>
      <c r="AE115" s="136">
        <v>2440</v>
      </c>
      <c r="AF115" s="108">
        <v>104</v>
      </c>
      <c r="AG115" s="182">
        <v>0</v>
      </c>
      <c r="AH115" s="182">
        <v>277</v>
      </c>
      <c r="AI115" s="182">
        <v>13</v>
      </c>
    </row>
    <row r="116" spans="2:35" x14ac:dyDescent="0.25">
      <c r="B116" s="123">
        <f t="shared" si="10"/>
        <v>44865</v>
      </c>
      <c r="C116" s="147">
        <v>8588</v>
      </c>
      <c r="D116" s="147">
        <v>1379</v>
      </c>
      <c r="E116" s="147">
        <v>19495</v>
      </c>
      <c r="F116" s="147">
        <v>1458</v>
      </c>
      <c r="G116" s="147">
        <v>234857</v>
      </c>
      <c r="H116" s="147">
        <v>784</v>
      </c>
      <c r="I116" s="147">
        <v>13771</v>
      </c>
      <c r="J116" s="147">
        <v>4539</v>
      </c>
      <c r="K116" s="147">
        <v>15</v>
      </c>
      <c r="L116" s="147">
        <v>2190</v>
      </c>
      <c r="M116" s="147">
        <v>8379</v>
      </c>
      <c r="N116" s="147">
        <v>0</v>
      </c>
      <c r="O116" s="147">
        <v>8417</v>
      </c>
      <c r="P116" s="147">
        <v>76</v>
      </c>
      <c r="Q116" s="147">
        <v>0</v>
      </c>
      <c r="R116" s="147">
        <v>765</v>
      </c>
      <c r="S116" s="147">
        <v>74519</v>
      </c>
      <c r="T116" s="147">
        <v>0</v>
      </c>
      <c r="U116" s="147">
        <v>3773</v>
      </c>
      <c r="V116" s="147">
        <v>2056</v>
      </c>
      <c r="W116" s="147">
        <v>6350</v>
      </c>
      <c r="X116" s="147">
        <v>4805</v>
      </c>
      <c r="Y116" s="147">
        <v>107767</v>
      </c>
      <c r="Z116" s="147">
        <v>60000</v>
      </c>
      <c r="AA116" s="147">
        <v>142867</v>
      </c>
      <c r="AB116" s="147">
        <v>98959</v>
      </c>
      <c r="AC116" s="147">
        <v>4793</v>
      </c>
      <c r="AD116" s="147">
        <v>1534</v>
      </c>
      <c r="AE116" s="147">
        <v>1289</v>
      </c>
      <c r="AF116" s="91">
        <v>1188</v>
      </c>
      <c r="AG116" s="180">
        <v>2404</v>
      </c>
      <c r="AH116" s="180">
        <v>5390</v>
      </c>
      <c r="AI116" s="180">
        <v>52</v>
      </c>
    </row>
    <row r="117" spans="2:35" x14ac:dyDescent="0.25">
      <c r="B117" s="123">
        <f t="shared" si="10"/>
        <v>44895</v>
      </c>
      <c r="C117" s="139">
        <v>81206</v>
      </c>
      <c r="D117" s="139">
        <v>1679</v>
      </c>
      <c r="E117" s="139">
        <v>9597</v>
      </c>
      <c r="F117" s="139">
        <v>3224</v>
      </c>
      <c r="G117" s="139">
        <v>471679</v>
      </c>
      <c r="H117" s="139">
        <v>3765</v>
      </c>
      <c r="I117" s="139">
        <v>21191</v>
      </c>
      <c r="J117" s="139">
        <v>5614</v>
      </c>
      <c r="K117" s="139">
        <v>0</v>
      </c>
      <c r="L117" s="139">
        <v>4853</v>
      </c>
      <c r="M117" s="139">
        <v>15856</v>
      </c>
      <c r="N117" s="139">
        <v>0</v>
      </c>
      <c r="O117" s="139">
        <v>36763</v>
      </c>
      <c r="P117" s="139">
        <v>91</v>
      </c>
      <c r="Q117" s="139">
        <v>0</v>
      </c>
      <c r="R117" s="139">
        <v>1556</v>
      </c>
      <c r="S117" s="139">
        <v>140477</v>
      </c>
      <c r="T117" s="139">
        <v>0</v>
      </c>
      <c r="U117" s="139">
        <v>7158</v>
      </c>
      <c r="V117" s="139">
        <v>1765</v>
      </c>
      <c r="W117" s="139">
        <v>5408</v>
      </c>
      <c r="X117" s="139">
        <v>7548</v>
      </c>
      <c r="Y117" s="139">
        <v>144566</v>
      </c>
      <c r="Z117" s="139">
        <v>125010</v>
      </c>
      <c r="AA117" s="139">
        <v>219996</v>
      </c>
      <c r="AB117" s="139">
        <v>202613</v>
      </c>
      <c r="AC117" s="139">
        <v>20622</v>
      </c>
      <c r="AD117" s="139">
        <v>3107</v>
      </c>
      <c r="AE117" s="139">
        <v>1331</v>
      </c>
      <c r="AF117" s="111">
        <v>9034</v>
      </c>
      <c r="AG117" s="181">
        <v>3537</v>
      </c>
      <c r="AH117" s="181">
        <v>335</v>
      </c>
      <c r="AI117" s="181">
        <v>1416</v>
      </c>
    </row>
    <row r="118" spans="2:35" ht="15.75" thickBot="1" x14ac:dyDescent="0.3">
      <c r="B118" s="123">
        <f t="shared" si="10"/>
        <v>44926</v>
      </c>
      <c r="C118" s="136">
        <v>127561</v>
      </c>
      <c r="D118" s="136">
        <v>2415</v>
      </c>
      <c r="E118" s="136">
        <v>0</v>
      </c>
      <c r="F118" s="136">
        <v>3294</v>
      </c>
      <c r="G118" s="136">
        <v>430067</v>
      </c>
      <c r="H118" s="136">
        <v>6946</v>
      </c>
      <c r="I118" s="136">
        <v>27936</v>
      </c>
      <c r="J118" s="136">
        <v>7818</v>
      </c>
      <c r="K118" s="136">
        <v>29253</v>
      </c>
      <c r="L118" s="136">
        <v>2791</v>
      </c>
      <c r="M118" s="136">
        <v>36010</v>
      </c>
      <c r="N118" s="136">
        <v>0</v>
      </c>
      <c r="O118" s="136">
        <v>13352</v>
      </c>
      <c r="P118" s="136">
        <v>895</v>
      </c>
      <c r="Q118" s="136">
        <v>0</v>
      </c>
      <c r="R118" s="136">
        <v>2416</v>
      </c>
      <c r="S118" s="136">
        <v>137513</v>
      </c>
      <c r="T118" s="136">
        <v>2151</v>
      </c>
      <c r="U118" s="136">
        <v>19903</v>
      </c>
      <c r="V118" s="136">
        <v>1831</v>
      </c>
      <c r="W118" s="136">
        <v>2630</v>
      </c>
      <c r="X118" s="136">
        <v>14543</v>
      </c>
      <c r="Y118" s="136">
        <v>80058</v>
      </c>
      <c r="Z118" s="136">
        <v>125002</v>
      </c>
      <c r="AA118" s="136">
        <v>212994</v>
      </c>
      <c r="AB118" s="136">
        <v>159713</v>
      </c>
      <c r="AC118" s="136">
        <v>22958</v>
      </c>
      <c r="AD118" s="136">
        <v>16023</v>
      </c>
      <c r="AE118" s="136">
        <v>810</v>
      </c>
      <c r="AF118" s="164">
        <v>14095</v>
      </c>
      <c r="AG118" s="182">
        <v>2803</v>
      </c>
      <c r="AH118" s="182">
        <v>1727</v>
      </c>
      <c r="AI118" s="182">
        <v>1385</v>
      </c>
    </row>
    <row r="119" spans="2:35" x14ac:dyDescent="0.25">
      <c r="B119" s="123">
        <f t="shared" si="10"/>
        <v>44957</v>
      </c>
      <c r="C119" s="142">
        <v>71564</v>
      </c>
      <c r="D119" s="142">
        <v>7301</v>
      </c>
      <c r="E119" s="142">
        <v>5976</v>
      </c>
      <c r="F119" s="142">
        <v>4157</v>
      </c>
      <c r="G119" s="142">
        <v>397825</v>
      </c>
      <c r="H119" s="142">
        <v>8865</v>
      </c>
      <c r="I119" s="142">
        <v>25614</v>
      </c>
      <c r="J119" s="142">
        <v>4692</v>
      </c>
      <c r="K119" s="142">
        <v>0</v>
      </c>
      <c r="L119" s="142">
        <v>5487</v>
      </c>
      <c r="M119" s="142">
        <v>46854</v>
      </c>
      <c r="N119" s="142">
        <v>0</v>
      </c>
      <c r="O119" s="142">
        <v>8353</v>
      </c>
      <c r="P119" s="142">
        <v>3203</v>
      </c>
      <c r="Q119" s="142">
        <v>0</v>
      </c>
      <c r="R119" s="142">
        <v>5115</v>
      </c>
      <c r="S119" s="142">
        <v>108778</v>
      </c>
      <c r="T119" s="142">
        <v>1733</v>
      </c>
      <c r="U119" s="142">
        <v>2669</v>
      </c>
      <c r="V119" s="142">
        <v>6780</v>
      </c>
      <c r="W119" s="142">
        <v>4979</v>
      </c>
      <c r="X119" s="142">
        <v>10713</v>
      </c>
      <c r="Y119" s="142">
        <v>131259</v>
      </c>
      <c r="Z119" s="142">
        <v>95010</v>
      </c>
      <c r="AA119" s="142">
        <v>196070</v>
      </c>
      <c r="AB119" s="142">
        <v>134625</v>
      </c>
      <c r="AC119" s="142">
        <v>21666</v>
      </c>
      <c r="AD119" s="142">
        <v>3442</v>
      </c>
      <c r="AE119" s="142">
        <v>7200</v>
      </c>
      <c r="AF119" s="166">
        <v>7889</v>
      </c>
      <c r="AG119" s="180">
        <v>12</v>
      </c>
      <c r="AH119" s="180">
        <v>986</v>
      </c>
      <c r="AI119" s="180">
        <v>169</v>
      </c>
    </row>
    <row r="120" spans="2:35" x14ac:dyDescent="0.25">
      <c r="B120" s="123">
        <f t="shared" si="10"/>
        <v>44985</v>
      </c>
      <c r="C120" s="139">
        <v>1160</v>
      </c>
      <c r="D120" s="139">
        <v>21179</v>
      </c>
      <c r="E120" s="139">
        <v>14303</v>
      </c>
      <c r="F120" s="139">
        <v>8168</v>
      </c>
      <c r="G120" s="139">
        <v>398147</v>
      </c>
      <c r="H120" s="139">
        <v>18349</v>
      </c>
      <c r="I120" s="139">
        <v>60362</v>
      </c>
      <c r="J120" s="139">
        <v>4895</v>
      </c>
      <c r="K120" s="139">
        <v>35222</v>
      </c>
      <c r="L120" s="139">
        <v>5349</v>
      </c>
      <c r="M120" s="139">
        <v>196</v>
      </c>
      <c r="N120" s="139">
        <v>0</v>
      </c>
      <c r="O120" s="139">
        <v>25507</v>
      </c>
      <c r="P120" s="139">
        <v>2779</v>
      </c>
      <c r="Q120" s="139">
        <v>0</v>
      </c>
      <c r="R120" s="139">
        <v>6321</v>
      </c>
      <c r="S120" s="139">
        <v>113207</v>
      </c>
      <c r="T120" s="139">
        <v>22941</v>
      </c>
      <c r="U120" s="139">
        <v>26410</v>
      </c>
      <c r="V120" s="139">
        <v>14033</v>
      </c>
      <c r="W120" s="139">
        <v>4611</v>
      </c>
      <c r="X120" s="139">
        <v>13723</v>
      </c>
      <c r="Y120" s="139">
        <v>61666</v>
      </c>
      <c r="Z120" s="139">
        <v>69995</v>
      </c>
      <c r="AA120" s="139">
        <v>202476</v>
      </c>
      <c r="AB120" s="139">
        <v>134069</v>
      </c>
      <c r="AC120" s="139">
        <v>7042</v>
      </c>
      <c r="AD120" s="139">
        <v>19883</v>
      </c>
      <c r="AE120" s="139">
        <v>8438</v>
      </c>
      <c r="AF120" s="165">
        <v>537</v>
      </c>
      <c r="AG120" s="181">
        <v>24</v>
      </c>
      <c r="AH120" s="181">
        <v>76</v>
      </c>
      <c r="AI120" s="181">
        <v>322</v>
      </c>
    </row>
    <row r="121" spans="2:35" ht="15.75" thickBot="1" x14ac:dyDescent="0.3">
      <c r="B121" s="123">
        <f t="shared" si="10"/>
        <v>45016</v>
      </c>
      <c r="C121" s="136">
        <v>64028</v>
      </c>
      <c r="D121" s="136">
        <v>12709</v>
      </c>
      <c r="E121" s="136">
        <v>32002</v>
      </c>
      <c r="F121" s="136">
        <v>5984</v>
      </c>
      <c r="G121" s="136">
        <v>286313</v>
      </c>
      <c r="H121" s="136">
        <v>4990</v>
      </c>
      <c r="I121" s="136">
        <v>33342</v>
      </c>
      <c r="J121" s="136">
        <v>6906</v>
      </c>
      <c r="K121" s="136">
        <v>57323</v>
      </c>
      <c r="L121" s="136">
        <v>4460</v>
      </c>
      <c r="M121" s="136">
        <v>6519</v>
      </c>
      <c r="N121" s="136">
        <v>0</v>
      </c>
      <c r="O121" s="136">
        <v>9353</v>
      </c>
      <c r="P121" s="136">
        <v>4556</v>
      </c>
      <c r="Q121" s="136">
        <v>0</v>
      </c>
      <c r="R121" s="136">
        <v>6609</v>
      </c>
      <c r="S121" s="136">
        <v>89226</v>
      </c>
      <c r="T121" s="136">
        <v>21046</v>
      </c>
      <c r="U121" s="136">
        <v>39501</v>
      </c>
      <c r="V121" s="136">
        <v>14533</v>
      </c>
      <c r="W121" s="136">
        <v>25573</v>
      </c>
      <c r="X121" s="136">
        <v>442</v>
      </c>
      <c r="Y121" s="136">
        <v>76024</v>
      </c>
      <c r="Z121" s="136">
        <v>80003</v>
      </c>
      <c r="AA121" s="136">
        <v>159670</v>
      </c>
      <c r="AB121" s="136">
        <v>173759</v>
      </c>
      <c r="AC121" s="136">
        <v>12344</v>
      </c>
      <c r="AD121" s="136">
        <v>43343</v>
      </c>
      <c r="AE121" s="136">
        <v>3908</v>
      </c>
      <c r="AF121" s="164">
        <v>827</v>
      </c>
      <c r="AG121" s="182">
        <v>2677</v>
      </c>
      <c r="AH121" s="182">
        <v>140</v>
      </c>
      <c r="AI121" s="182">
        <v>196</v>
      </c>
    </row>
    <row r="122" spans="2:35" x14ac:dyDescent="0.25">
      <c r="B122" s="123">
        <f t="shared" si="10"/>
        <v>45046</v>
      </c>
      <c r="C122" s="142">
        <v>41914</v>
      </c>
      <c r="D122" s="142">
        <v>515</v>
      </c>
      <c r="E122" s="142">
        <v>28185</v>
      </c>
      <c r="F122" s="142">
        <v>5739</v>
      </c>
      <c r="G122" s="142">
        <v>227375</v>
      </c>
      <c r="H122" s="142">
        <v>2892</v>
      </c>
      <c r="I122" s="142">
        <v>52057</v>
      </c>
      <c r="J122" s="142">
        <v>11291</v>
      </c>
      <c r="K122" s="142">
        <v>24746</v>
      </c>
      <c r="L122" s="142">
        <v>8211</v>
      </c>
      <c r="M122" s="142">
        <v>200</v>
      </c>
      <c r="N122" s="142">
        <v>0</v>
      </c>
      <c r="O122" s="142">
        <v>8787</v>
      </c>
      <c r="P122" s="142">
        <v>2410</v>
      </c>
      <c r="Q122" s="142">
        <v>0</v>
      </c>
      <c r="R122" s="142">
        <v>2482</v>
      </c>
      <c r="S122" s="142">
        <v>57046</v>
      </c>
      <c r="T122" s="142">
        <v>18135</v>
      </c>
      <c r="U122" s="142">
        <v>36520</v>
      </c>
      <c r="V122" s="142">
        <v>4395</v>
      </c>
      <c r="W122" s="142">
        <v>5160</v>
      </c>
      <c r="X122" s="142">
        <v>2794</v>
      </c>
      <c r="Y122" s="142">
        <v>85209</v>
      </c>
      <c r="Z122" s="142">
        <v>115010</v>
      </c>
      <c r="AA122" s="142">
        <v>98155</v>
      </c>
      <c r="AB122" s="142">
        <v>193560</v>
      </c>
      <c r="AC122" s="142">
        <v>12580</v>
      </c>
      <c r="AD122" s="142">
        <v>36171</v>
      </c>
      <c r="AE122" s="142">
        <v>6413</v>
      </c>
      <c r="AF122" s="166">
        <v>685</v>
      </c>
      <c r="AG122" s="180">
        <v>0</v>
      </c>
      <c r="AH122" s="180">
        <v>98</v>
      </c>
      <c r="AI122" s="180">
        <v>2</v>
      </c>
    </row>
    <row r="123" spans="2:35" x14ac:dyDescent="0.25">
      <c r="B123" s="123">
        <f t="shared" si="10"/>
        <v>45077</v>
      </c>
      <c r="C123" s="140">
        <v>63318</v>
      </c>
      <c r="D123" s="140">
        <v>6224</v>
      </c>
      <c r="E123" s="139">
        <v>87505</v>
      </c>
      <c r="F123" s="139">
        <v>5683</v>
      </c>
      <c r="G123" s="139">
        <v>182145</v>
      </c>
      <c r="H123" s="139">
        <v>4259</v>
      </c>
      <c r="I123" s="139">
        <v>54671</v>
      </c>
      <c r="J123" s="139">
        <v>7838</v>
      </c>
      <c r="K123" s="139">
        <v>24223</v>
      </c>
      <c r="L123" s="139">
        <v>5322</v>
      </c>
      <c r="M123" s="139">
        <v>303</v>
      </c>
      <c r="N123" s="139">
        <v>0</v>
      </c>
      <c r="O123" s="139">
        <v>67048</v>
      </c>
      <c r="P123" s="139">
        <v>42730</v>
      </c>
      <c r="Q123" s="139">
        <v>22000</v>
      </c>
      <c r="R123" s="139">
        <v>2061</v>
      </c>
      <c r="S123" s="139">
        <v>52786</v>
      </c>
      <c r="T123" s="139">
        <v>17791</v>
      </c>
      <c r="U123" s="139">
        <v>32128</v>
      </c>
      <c r="V123" s="139">
        <v>4082</v>
      </c>
      <c r="W123" s="139">
        <v>7270</v>
      </c>
      <c r="X123" s="139">
        <v>379</v>
      </c>
      <c r="Y123" s="139">
        <v>60128</v>
      </c>
      <c r="Z123" s="139">
        <v>100005</v>
      </c>
      <c r="AA123" s="139">
        <v>68996</v>
      </c>
      <c r="AB123" s="139">
        <v>342492</v>
      </c>
      <c r="AC123" s="139">
        <v>24948</v>
      </c>
      <c r="AD123" s="139">
        <v>29212</v>
      </c>
      <c r="AE123" s="139">
        <v>1359</v>
      </c>
      <c r="AF123" s="165">
        <v>663</v>
      </c>
      <c r="AG123" s="181">
        <v>11716</v>
      </c>
      <c r="AH123" s="181">
        <v>5423</v>
      </c>
      <c r="AI123" s="181">
        <v>1</v>
      </c>
    </row>
    <row r="124" spans="2:35" ht="15.75" thickBot="1" x14ac:dyDescent="0.3">
      <c r="B124" s="123">
        <f t="shared" si="10"/>
        <v>45107</v>
      </c>
      <c r="C124" s="136">
        <v>1181</v>
      </c>
      <c r="D124" s="138">
        <v>241</v>
      </c>
      <c r="E124" s="138">
        <v>9597</v>
      </c>
      <c r="F124" s="136">
        <v>2646</v>
      </c>
      <c r="G124" s="136">
        <v>31864</v>
      </c>
      <c r="H124" s="136">
        <v>315</v>
      </c>
      <c r="I124" s="136">
        <v>25838</v>
      </c>
      <c r="J124" s="136">
        <v>5492</v>
      </c>
      <c r="K124" s="137">
        <v>35648</v>
      </c>
      <c r="L124" s="136">
        <v>7286</v>
      </c>
      <c r="M124" s="136">
        <v>69</v>
      </c>
      <c r="N124" s="136">
        <v>0</v>
      </c>
      <c r="O124" s="136">
        <v>77029</v>
      </c>
      <c r="P124" s="136">
        <v>164</v>
      </c>
      <c r="Q124" s="136">
        <v>0</v>
      </c>
      <c r="R124" s="136">
        <v>1198</v>
      </c>
      <c r="S124" s="136">
        <v>9609</v>
      </c>
      <c r="T124" s="136">
        <v>9802</v>
      </c>
      <c r="U124" s="136">
        <v>25498</v>
      </c>
      <c r="V124" s="136">
        <v>1670</v>
      </c>
      <c r="W124" s="136">
        <v>1687</v>
      </c>
      <c r="X124" s="136">
        <v>3160</v>
      </c>
      <c r="Y124" s="136">
        <v>28570</v>
      </c>
      <c r="Z124" s="136">
        <v>0</v>
      </c>
      <c r="AA124" s="136">
        <v>19757</v>
      </c>
      <c r="AB124" s="136">
        <v>18649</v>
      </c>
      <c r="AC124" s="136">
        <v>7164</v>
      </c>
      <c r="AD124" s="136">
        <v>25569</v>
      </c>
      <c r="AE124" s="136">
        <v>479</v>
      </c>
      <c r="AF124" s="164">
        <v>671</v>
      </c>
      <c r="AG124" s="182">
        <v>0</v>
      </c>
      <c r="AH124" s="182">
        <v>74</v>
      </c>
      <c r="AI124" s="182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8A8F-5433-4B5F-B581-86976B0EC009}">
  <sheetPr>
    <pageSetUpPr fitToPage="1"/>
  </sheetPr>
  <dimension ref="A1:F34"/>
  <sheetViews>
    <sheetView workbookViewId="0">
      <selection activeCell="E35" sqref="E35"/>
    </sheetView>
  </sheetViews>
  <sheetFormatPr defaultRowHeight="15" x14ac:dyDescent="0.25"/>
  <cols>
    <col min="1" max="1" width="18.42578125" customWidth="1"/>
    <col min="2" max="2" width="22.28515625" customWidth="1"/>
    <col min="3" max="3" width="26.85546875" customWidth="1"/>
    <col min="5" max="5" width="26.42578125" customWidth="1"/>
  </cols>
  <sheetData>
    <row r="1" spans="1:6" ht="39" customHeight="1" x14ac:dyDescent="0.25">
      <c r="A1" s="201" t="s">
        <v>0</v>
      </c>
      <c r="B1" s="200" t="s">
        <v>1</v>
      </c>
      <c r="C1" s="199" t="s">
        <v>182</v>
      </c>
      <c r="D1" s="202" t="s">
        <v>183</v>
      </c>
      <c r="E1" s="221" t="s">
        <v>218</v>
      </c>
      <c r="F1" s="202" t="s">
        <v>183</v>
      </c>
    </row>
    <row r="2" spans="1:6" x14ac:dyDescent="0.25">
      <c r="A2" s="12" t="s">
        <v>115</v>
      </c>
      <c r="B2" s="13" t="s">
        <v>116</v>
      </c>
      <c r="C2" s="49">
        <v>166528.03643000001</v>
      </c>
      <c r="D2" s="49" t="s">
        <v>184</v>
      </c>
      <c r="E2" s="223">
        <v>14511</v>
      </c>
      <c r="F2" s="49" t="s">
        <v>184</v>
      </c>
    </row>
    <row r="3" spans="1:6" x14ac:dyDescent="0.25">
      <c r="A3" s="27" t="s">
        <v>117</v>
      </c>
      <c r="B3" s="28" t="s">
        <v>118</v>
      </c>
      <c r="C3" s="49">
        <v>34063.769399999997</v>
      </c>
      <c r="D3" s="49" t="s">
        <v>184</v>
      </c>
      <c r="E3" s="223">
        <v>11959</v>
      </c>
      <c r="F3" s="49" t="s">
        <v>184</v>
      </c>
    </row>
    <row r="4" spans="1:6" x14ac:dyDescent="0.25">
      <c r="A4" s="12" t="s">
        <v>119</v>
      </c>
      <c r="B4" s="13" t="s">
        <v>120</v>
      </c>
      <c r="C4" s="49">
        <v>90063.992800000007</v>
      </c>
      <c r="D4" s="49" t="s">
        <v>184</v>
      </c>
      <c r="E4" s="224">
        <v>69753</v>
      </c>
      <c r="F4" s="49" t="s">
        <v>184</v>
      </c>
    </row>
    <row r="5" spans="1:6" x14ac:dyDescent="0.25">
      <c r="A5" s="27" t="s">
        <v>121</v>
      </c>
      <c r="B5" s="28" t="s">
        <v>122</v>
      </c>
      <c r="C5" s="49">
        <v>34390.948759999999</v>
      </c>
      <c r="D5" s="49" t="s">
        <v>184</v>
      </c>
      <c r="E5" s="223">
        <v>39510</v>
      </c>
      <c r="F5" s="49" t="s">
        <v>184</v>
      </c>
    </row>
    <row r="6" spans="1:6" x14ac:dyDescent="0.25">
      <c r="A6" s="12" t="s">
        <v>123</v>
      </c>
      <c r="B6" s="42" t="s">
        <v>124</v>
      </c>
      <c r="C6" s="49">
        <v>112957.56630000001</v>
      </c>
      <c r="D6" s="49" t="s">
        <v>184</v>
      </c>
      <c r="E6" s="223">
        <v>131943</v>
      </c>
      <c r="F6" s="49" t="s">
        <v>184</v>
      </c>
    </row>
    <row r="7" spans="1:6" x14ac:dyDescent="0.25">
      <c r="A7" s="49" t="s">
        <v>125</v>
      </c>
      <c r="B7" s="50" t="s">
        <v>126</v>
      </c>
      <c r="C7" s="49">
        <v>75897.383149999994</v>
      </c>
      <c r="D7" s="49" t="s">
        <v>184</v>
      </c>
      <c r="E7" s="223">
        <v>38437</v>
      </c>
      <c r="F7" s="49" t="s">
        <v>184</v>
      </c>
    </row>
    <row r="8" spans="1:6" x14ac:dyDescent="0.25">
      <c r="A8" s="59" t="s">
        <v>127</v>
      </c>
      <c r="B8" s="60" t="s">
        <v>128</v>
      </c>
      <c r="C8" s="49">
        <v>185655.65044</v>
      </c>
      <c r="D8" s="49" t="s">
        <v>184</v>
      </c>
      <c r="E8" s="223">
        <v>138540</v>
      </c>
      <c r="F8" s="49" t="s">
        <v>184</v>
      </c>
    </row>
    <row r="9" spans="1:6" x14ac:dyDescent="0.25">
      <c r="A9" s="49" t="s">
        <v>129</v>
      </c>
      <c r="B9" s="50" t="s">
        <v>130</v>
      </c>
      <c r="C9" s="49">
        <v>39635.70736</v>
      </c>
      <c r="D9" s="49" t="s">
        <v>184</v>
      </c>
      <c r="E9" s="223">
        <v>14258</v>
      </c>
      <c r="F9" s="49" t="s">
        <v>184</v>
      </c>
    </row>
    <row r="10" spans="1:6" x14ac:dyDescent="0.25">
      <c r="A10" s="59" t="s">
        <v>131</v>
      </c>
      <c r="B10" s="59" t="s">
        <v>132</v>
      </c>
      <c r="C10" s="49">
        <v>94938.158339999994</v>
      </c>
      <c r="D10" s="49" t="s">
        <v>184</v>
      </c>
      <c r="E10" s="223">
        <v>36580</v>
      </c>
      <c r="F10" s="49" t="s">
        <v>184</v>
      </c>
    </row>
    <row r="11" spans="1:6" x14ac:dyDescent="0.25">
      <c r="A11" s="49" t="s">
        <v>133</v>
      </c>
      <c r="B11" s="49" t="s">
        <v>134</v>
      </c>
      <c r="C11" s="49">
        <v>26849.4172</v>
      </c>
      <c r="D11" s="49" t="s">
        <v>184</v>
      </c>
      <c r="E11" s="223">
        <v>29348</v>
      </c>
      <c r="F11" s="49" t="s">
        <v>184</v>
      </c>
    </row>
    <row r="12" spans="1:6" x14ac:dyDescent="0.25">
      <c r="A12" s="59" t="s">
        <v>135</v>
      </c>
      <c r="B12" s="59" t="s">
        <v>136</v>
      </c>
      <c r="C12" s="49">
        <v>33011.577239999999</v>
      </c>
      <c r="D12" s="49" t="s">
        <v>184</v>
      </c>
      <c r="E12" s="223">
        <v>64937</v>
      </c>
      <c r="F12" s="49" t="s">
        <v>184</v>
      </c>
    </row>
    <row r="13" spans="1:6" x14ac:dyDescent="0.25">
      <c r="A13" s="49" t="s">
        <v>137</v>
      </c>
      <c r="B13" s="49" t="s">
        <v>138</v>
      </c>
      <c r="C13" s="49">
        <v>19.2</v>
      </c>
      <c r="D13" s="49" t="s">
        <v>184</v>
      </c>
      <c r="E13" s="222">
        <v>0</v>
      </c>
      <c r="F13" s="49" t="s">
        <v>184</v>
      </c>
    </row>
    <row r="14" spans="1:6" x14ac:dyDescent="0.25">
      <c r="A14" s="59" t="s">
        <v>139</v>
      </c>
      <c r="B14" s="59" t="s">
        <v>140</v>
      </c>
      <c r="C14" s="49">
        <v>30793.58815</v>
      </c>
      <c r="D14" s="49" t="s">
        <v>184</v>
      </c>
      <c r="E14" s="223">
        <v>15613</v>
      </c>
      <c r="F14" s="49" t="s">
        <v>184</v>
      </c>
    </row>
    <row r="15" spans="1:6" x14ac:dyDescent="0.25">
      <c r="A15" s="49" t="s">
        <v>141</v>
      </c>
      <c r="B15" s="49" t="s">
        <v>142</v>
      </c>
      <c r="C15" s="49">
        <v>29094.923989999999</v>
      </c>
      <c r="D15" s="49" t="s">
        <v>184</v>
      </c>
      <c r="E15" s="223">
        <v>50970</v>
      </c>
      <c r="F15" s="49" t="s">
        <v>184</v>
      </c>
    </row>
    <row r="16" spans="1:6" x14ac:dyDescent="0.25">
      <c r="A16" s="59" t="s">
        <v>143</v>
      </c>
      <c r="B16" s="59" t="s">
        <v>142</v>
      </c>
      <c r="C16" s="49">
        <v>1.915</v>
      </c>
      <c r="D16" s="49" t="s">
        <v>184</v>
      </c>
      <c r="E16" s="222">
        <v>0</v>
      </c>
      <c r="F16" s="49" t="s">
        <v>184</v>
      </c>
    </row>
    <row r="17" spans="1:6" x14ac:dyDescent="0.25">
      <c r="A17" s="49" t="s">
        <v>144</v>
      </c>
      <c r="B17" s="49" t="s">
        <v>145</v>
      </c>
      <c r="C17" s="49">
        <v>53084.972800000003</v>
      </c>
      <c r="D17" s="49" t="s">
        <v>184</v>
      </c>
      <c r="E17" s="223">
        <v>22221</v>
      </c>
      <c r="F17" s="49" t="s">
        <v>184</v>
      </c>
    </row>
    <row r="18" spans="1:6" x14ac:dyDescent="0.25">
      <c r="A18" s="64" t="s">
        <v>146</v>
      </c>
      <c r="B18" s="64" t="s">
        <v>147</v>
      </c>
      <c r="C18" s="49">
        <v>38492.534200000002</v>
      </c>
      <c r="D18" s="49" t="s">
        <v>184</v>
      </c>
      <c r="E18" s="223">
        <v>68081</v>
      </c>
      <c r="F18" s="49" t="s">
        <v>184</v>
      </c>
    </row>
    <row r="19" spans="1:6" x14ac:dyDescent="0.25">
      <c r="A19" s="49" t="s">
        <v>148</v>
      </c>
      <c r="B19" s="49" t="s">
        <v>149</v>
      </c>
      <c r="C19" s="49">
        <v>61741.53125</v>
      </c>
      <c r="D19" s="49" t="s">
        <v>184</v>
      </c>
      <c r="E19" s="223">
        <v>73513</v>
      </c>
      <c r="F19" s="49" t="s">
        <v>184</v>
      </c>
    </row>
    <row r="20" spans="1:6" x14ac:dyDescent="0.25">
      <c r="A20" s="64" t="s">
        <v>150</v>
      </c>
      <c r="B20" s="64" t="s">
        <v>151</v>
      </c>
      <c r="C20" s="49">
        <v>102834.38849</v>
      </c>
      <c r="D20" s="49" t="s">
        <v>184</v>
      </c>
      <c r="E20" s="223">
        <v>165085</v>
      </c>
      <c r="F20" s="49" t="s">
        <v>184</v>
      </c>
    </row>
    <row r="21" spans="1:6" x14ac:dyDescent="0.25">
      <c r="A21" s="49" t="s">
        <v>152</v>
      </c>
      <c r="B21" s="49" t="s">
        <v>153</v>
      </c>
      <c r="C21" s="49">
        <v>60058.958980000003</v>
      </c>
      <c r="D21" s="49" t="s">
        <v>184</v>
      </c>
      <c r="E21" s="223">
        <v>36095</v>
      </c>
      <c r="F21" s="49" t="s">
        <v>184</v>
      </c>
    </row>
    <row r="22" spans="1:6" x14ac:dyDescent="0.25">
      <c r="A22" s="64" t="s">
        <v>154</v>
      </c>
      <c r="B22" s="64" t="s">
        <v>155</v>
      </c>
      <c r="C22" s="49">
        <v>20002.873350000002</v>
      </c>
      <c r="D22" s="49" t="s">
        <v>184</v>
      </c>
      <c r="E22" s="223">
        <v>32615</v>
      </c>
      <c r="F22" s="49" t="s">
        <v>184</v>
      </c>
    </row>
    <row r="23" spans="1:6" x14ac:dyDescent="0.25">
      <c r="A23" s="49" t="s">
        <v>156</v>
      </c>
      <c r="B23" s="49" t="s">
        <v>157</v>
      </c>
      <c r="C23" s="49">
        <v>4561.6886750000003</v>
      </c>
      <c r="D23" s="49" t="s">
        <v>184</v>
      </c>
      <c r="E23" s="223">
        <v>17954</v>
      </c>
      <c r="F23" s="49" t="s">
        <v>184</v>
      </c>
    </row>
    <row r="24" spans="1:6" x14ac:dyDescent="0.25">
      <c r="A24" s="64" t="s">
        <v>158</v>
      </c>
      <c r="B24" s="64" t="s">
        <v>159</v>
      </c>
      <c r="C24" s="49">
        <v>78507.778860000006</v>
      </c>
      <c r="D24" s="49" t="s">
        <v>184</v>
      </c>
      <c r="E24" s="223">
        <v>188887</v>
      </c>
      <c r="F24" s="49" t="s">
        <v>184</v>
      </c>
    </row>
    <row r="25" spans="1:6" x14ac:dyDescent="0.25">
      <c r="A25" s="49" t="s">
        <v>160</v>
      </c>
      <c r="B25" s="49" t="s">
        <v>161</v>
      </c>
      <c r="C25" s="49">
        <v>42290.2906</v>
      </c>
      <c r="D25" s="49" t="s">
        <v>184</v>
      </c>
      <c r="E25" s="223">
        <v>69990</v>
      </c>
      <c r="F25" s="49" t="s">
        <v>184</v>
      </c>
    </row>
    <row r="26" spans="1:6" x14ac:dyDescent="0.25">
      <c r="A26" s="64" t="s">
        <v>162</v>
      </c>
      <c r="B26" s="64" t="s">
        <v>163</v>
      </c>
      <c r="C26" s="49">
        <v>52132.560440000001</v>
      </c>
      <c r="D26" s="49" t="s">
        <v>184</v>
      </c>
      <c r="E26" s="223">
        <v>69780</v>
      </c>
      <c r="F26" s="49" t="s">
        <v>184</v>
      </c>
    </row>
    <row r="27" spans="1:6" x14ac:dyDescent="0.25">
      <c r="A27" s="49" t="s">
        <v>164</v>
      </c>
      <c r="B27" s="49" t="s">
        <v>165</v>
      </c>
      <c r="C27" s="49">
        <v>42735.843690000002</v>
      </c>
      <c r="D27" s="49" t="s">
        <v>184</v>
      </c>
      <c r="E27" s="223">
        <v>385383</v>
      </c>
      <c r="F27" s="49" t="s">
        <v>184</v>
      </c>
    </row>
    <row r="28" spans="1:6" x14ac:dyDescent="0.25">
      <c r="A28" s="64" t="s">
        <v>166</v>
      </c>
      <c r="B28" s="64" t="s">
        <v>167</v>
      </c>
      <c r="C28" s="49">
        <v>9092.1836500000009</v>
      </c>
      <c r="D28" s="49" t="s">
        <v>184</v>
      </c>
      <c r="E28" s="223">
        <v>3000</v>
      </c>
      <c r="F28" s="49" t="s">
        <v>184</v>
      </c>
    </row>
    <row r="29" spans="1:6" x14ac:dyDescent="0.25">
      <c r="A29" s="49" t="s">
        <v>169</v>
      </c>
      <c r="B29" s="49" t="s">
        <v>170</v>
      </c>
      <c r="C29" s="49">
        <v>7782.3088900000002</v>
      </c>
      <c r="D29" s="49" t="s">
        <v>184</v>
      </c>
      <c r="E29" s="223">
        <v>32198</v>
      </c>
      <c r="F29" s="49" t="s">
        <v>184</v>
      </c>
    </row>
    <row r="30" spans="1:6" x14ac:dyDescent="0.25">
      <c r="A30" s="64" t="s">
        <v>172</v>
      </c>
      <c r="B30" s="64" t="s">
        <v>173</v>
      </c>
      <c r="C30" s="49">
        <v>65605.312669999999</v>
      </c>
      <c r="D30" s="49" t="s">
        <v>184</v>
      </c>
      <c r="E30" s="223">
        <v>30140</v>
      </c>
      <c r="F30" s="49" t="s">
        <v>184</v>
      </c>
    </row>
    <row r="31" spans="1:6" x14ac:dyDescent="0.25">
      <c r="A31" s="198" t="s">
        <v>174</v>
      </c>
      <c r="B31" s="198" t="s">
        <v>175</v>
      </c>
      <c r="C31" s="49">
        <v>57473.153980000003</v>
      </c>
      <c r="D31" s="49" t="s">
        <v>184</v>
      </c>
      <c r="E31" s="223">
        <v>26050</v>
      </c>
      <c r="F31" s="49" t="s">
        <v>184</v>
      </c>
    </row>
    <row r="32" spans="1:6" x14ac:dyDescent="0.25">
      <c r="A32" s="64" t="s">
        <v>176</v>
      </c>
      <c r="B32" s="64" t="s">
        <v>177</v>
      </c>
      <c r="C32" s="49">
        <v>758.94119999999998</v>
      </c>
      <c r="D32" s="49" t="s">
        <v>184</v>
      </c>
      <c r="E32" s="223">
        <v>19375</v>
      </c>
      <c r="F32" s="49" t="s">
        <v>184</v>
      </c>
    </row>
    <row r="33" spans="1:6" x14ac:dyDescent="0.25">
      <c r="A33" s="49" t="s">
        <v>178</v>
      </c>
      <c r="B33" s="49" t="s">
        <v>179</v>
      </c>
      <c r="C33" s="49">
        <v>404.50871000000001</v>
      </c>
      <c r="D33" s="49" t="s">
        <v>184</v>
      </c>
      <c r="E33" s="223">
        <v>6965</v>
      </c>
      <c r="F33" s="49" t="s">
        <v>184</v>
      </c>
    </row>
    <row r="34" spans="1:6" x14ac:dyDescent="0.25">
      <c r="A34" s="64" t="s">
        <v>180</v>
      </c>
      <c r="B34" s="64" t="s">
        <v>181</v>
      </c>
      <c r="C34" s="49">
        <v>9855.1072999999997</v>
      </c>
      <c r="D34" s="49" t="s">
        <v>184</v>
      </c>
      <c r="E34" s="223">
        <v>5559</v>
      </c>
      <c r="F34" s="49" t="s">
        <v>184</v>
      </c>
    </row>
  </sheetData>
  <pageMargins left="0.7" right="0.7" top="0.75" bottom="0.75" header="0.3" footer="0.3"/>
  <pageSetup scale="97" orientation="landscape" r:id="rId1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Z33"/>
  <sheetViews>
    <sheetView tabSelected="1" zoomScale="142" zoomScaleNormal="142" workbookViewId="0">
      <pane xSplit="2" ySplit="1" topLeftCell="DN2" activePane="bottomRight" state="frozen"/>
      <selection pane="topRight" activeCell="C1" sqref="C1"/>
      <selection pane="bottomLeft" activeCell="A2" sqref="A2"/>
      <selection pane="bottomRight" activeCell="DX1" sqref="DX1"/>
    </sheetView>
  </sheetViews>
  <sheetFormatPr defaultRowHeight="15" x14ac:dyDescent="0.25"/>
  <cols>
    <col min="1" max="1" width="13.140625" bestFit="1" customWidth="1"/>
    <col min="2" max="2" width="21.85546875" customWidth="1"/>
    <col min="3" max="19" width="8.7109375" customWidth="1"/>
    <col min="20" max="20" width="10.5703125" customWidth="1"/>
    <col min="21" max="74" width="8.7109375" customWidth="1"/>
    <col min="75" max="86" width="9.140625" customWidth="1"/>
    <col min="87" max="87" width="9.5703125" customWidth="1"/>
    <col min="88" max="99" width="9.85546875" customWidth="1"/>
    <col min="100" max="100" width="11.85546875" customWidth="1"/>
    <col min="101" max="101" width="9.7109375" bestFit="1" customWidth="1"/>
    <col min="102" max="103" width="10.28515625" customWidth="1"/>
    <col min="104" max="104" width="9.85546875" customWidth="1"/>
    <col min="105" max="105" width="11.42578125" customWidth="1"/>
    <col min="106" max="106" width="9.7109375" customWidth="1"/>
    <col min="107" max="107" width="11" customWidth="1"/>
    <col min="108" max="108" width="10.140625" customWidth="1"/>
    <col min="109" max="109" width="10.7109375" customWidth="1"/>
    <col min="110" max="110" width="11.28515625" customWidth="1"/>
    <col min="111" max="111" width="12.28515625" customWidth="1"/>
    <col min="112" max="112" width="10.42578125" customWidth="1"/>
    <col min="113" max="114" width="9.85546875" customWidth="1"/>
    <col min="115" max="115" width="11.85546875" customWidth="1"/>
    <col min="120" max="120" width="11" customWidth="1"/>
    <col min="125" max="125" width="11.7109375" customWidth="1"/>
    <col min="127" max="127" width="10" customWidth="1"/>
    <col min="130" max="130" width="11.28515625" customWidth="1"/>
  </cols>
  <sheetData>
    <row r="1" spans="1:130" ht="45.75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5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6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6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6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6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9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9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9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9" t="s">
        <v>64</v>
      </c>
      <c r="BN1" s="9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9" t="s">
        <v>70</v>
      </c>
      <c r="BT1" s="1" t="s">
        <v>71</v>
      </c>
      <c r="BU1" s="1" t="s">
        <v>72</v>
      </c>
      <c r="BV1" s="1" t="s">
        <v>73</v>
      </c>
      <c r="BW1" s="9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9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9" t="s">
        <v>84</v>
      </c>
      <c r="CH1" s="1" t="s">
        <v>85</v>
      </c>
      <c r="CI1" s="10" t="s">
        <v>86</v>
      </c>
      <c r="CJ1" s="1" t="s">
        <v>87</v>
      </c>
      <c r="CK1" s="11" t="s">
        <v>88</v>
      </c>
      <c r="CL1" s="9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9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9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9" t="s">
        <v>104</v>
      </c>
      <c r="DB1" s="75" t="s">
        <v>105</v>
      </c>
      <c r="DC1" s="76" t="s">
        <v>106</v>
      </c>
      <c r="DD1" s="76" t="s">
        <v>107</v>
      </c>
      <c r="DE1" s="76" t="s">
        <v>108</v>
      </c>
      <c r="DF1" s="9" t="s">
        <v>109</v>
      </c>
      <c r="DG1" s="178" t="s">
        <v>110</v>
      </c>
      <c r="DH1" s="179" t="s">
        <v>111</v>
      </c>
      <c r="DI1" s="179" t="s">
        <v>112</v>
      </c>
      <c r="DJ1" s="179" t="s">
        <v>113</v>
      </c>
      <c r="DK1" s="187" t="s">
        <v>114</v>
      </c>
      <c r="DL1" s="178" t="s">
        <v>213</v>
      </c>
      <c r="DM1" s="179" t="s">
        <v>214</v>
      </c>
      <c r="DN1" s="179" t="s">
        <v>215</v>
      </c>
      <c r="DO1" s="179" t="s">
        <v>216</v>
      </c>
      <c r="DP1" s="187" t="s">
        <v>217</v>
      </c>
      <c r="DQ1" s="178" t="s">
        <v>213</v>
      </c>
      <c r="DR1" s="179" t="s">
        <v>214</v>
      </c>
      <c r="DS1" s="179" t="s">
        <v>215</v>
      </c>
      <c r="DT1" s="179" t="s">
        <v>216</v>
      </c>
      <c r="DU1" s="187" t="s">
        <v>219</v>
      </c>
      <c r="DV1" s="178" t="s">
        <v>213</v>
      </c>
      <c r="DW1" s="179" t="s">
        <v>214</v>
      </c>
      <c r="DX1" s="179" t="s">
        <v>215</v>
      </c>
      <c r="DY1" s="179" t="s">
        <v>216</v>
      </c>
      <c r="DZ1" s="187" t="s">
        <v>220</v>
      </c>
    </row>
    <row r="2" spans="1:130" x14ac:dyDescent="0.25">
      <c r="A2" s="12" t="s">
        <v>115</v>
      </c>
      <c r="B2" s="13" t="s">
        <v>116</v>
      </c>
      <c r="C2" s="14">
        <v>435</v>
      </c>
      <c r="D2" s="14">
        <f>C2/2000</f>
        <v>0.2175</v>
      </c>
      <c r="E2" s="12">
        <v>187316</v>
      </c>
      <c r="F2" s="12">
        <v>177883</v>
      </c>
      <c r="G2" s="12">
        <v>22931</v>
      </c>
      <c r="H2" s="12">
        <f>SUM(F2:G2)</f>
        <v>200814</v>
      </c>
      <c r="I2" s="12">
        <f>J2+K2</f>
        <v>62719</v>
      </c>
      <c r="J2" s="12">
        <v>5673</v>
      </c>
      <c r="K2" s="12">
        <v>57046</v>
      </c>
      <c r="L2" s="12">
        <f>M2+N2</f>
        <v>15259</v>
      </c>
      <c r="M2" s="12">
        <v>4570</v>
      </c>
      <c r="N2" s="12">
        <v>10689</v>
      </c>
      <c r="O2" s="12">
        <f>SUM(J2:N2)</f>
        <v>93237</v>
      </c>
      <c r="P2" s="12">
        <v>12085</v>
      </c>
      <c r="Q2" s="12">
        <v>16954</v>
      </c>
      <c r="R2" s="12">
        <v>10784</v>
      </c>
      <c r="S2" s="12">
        <v>11072</v>
      </c>
      <c r="T2" s="15">
        <f>SUM(P2:S2)</f>
        <v>50895</v>
      </c>
      <c r="U2" s="15">
        <v>17565</v>
      </c>
      <c r="V2" s="15">
        <v>66657</v>
      </c>
      <c r="W2" s="15">
        <v>8962</v>
      </c>
      <c r="X2" s="15">
        <v>18623</v>
      </c>
      <c r="Y2" s="15">
        <f>SUM(U2:X2)</f>
        <v>111807</v>
      </c>
      <c r="Z2" s="15">
        <v>16760</v>
      </c>
      <c r="AA2" s="15">
        <v>30029</v>
      </c>
      <c r="AB2" s="15">
        <v>9404</v>
      </c>
      <c r="AC2" s="15">
        <v>25441</v>
      </c>
      <c r="AD2" s="15">
        <f t="shared" ref="AD2:AD29" si="0">Z2+AA2+AB2+AC2</f>
        <v>81634</v>
      </c>
      <c r="AE2" s="15">
        <v>60383</v>
      </c>
      <c r="AF2" s="15">
        <v>26644.6</v>
      </c>
      <c r="AG2" s="15">
        <v>15001</v>
      </c>
      <c r="AH2" s="15">
        <v>21660</v>
      </c>
      <c r="AI2" s="15">
        <f t="shared" ref="AI2:AI29" si="1">SUM(AE2:AH2)</f>
        <v>123688.6</v>
      </c>
      <c r="AJ2" s="15">
        <v>29316</v>
      </c>
      <c r="AK2" s="15">
        <v>19195</v>
      </c>
      <c r="AL2" s="15">
        <v>30049</v>
      </c>
      <c r="AM2" s="15">
        <v>19723</v>
      </c>
      <c r="AN2" s="15">
        <f t="shared" ref="AN2:AN29" si="2">SUM(AJ2:AM2)</f>
        <v>98283</v>
      </c>
      <c r="AO2" s="15">
        <v>23682</v>
      </c>
      <c r="AP2" s="15">
        <v>24971</v>
      </c>
      <c r="AQ2" s="15">
        <v>11761</v>
      </c>
      <c r="AR2" s="16">
        <v>27456</v>
      </c>
      <c r="AS2" s="17">
        <f t="shared" ref="AS2:AS29" si="3">SUM(AO2:AR2)</f>
        <v>87870</v>
      </c>
      <c r="AT2" s="15">
        <v>22583</v>
      </c>
      <c r="AU2" s="15">
        <v>26242</v>
      </c>
      <c r="AV2" s="15">
        <v>2195</v>
      </c>
      <c r="AW2" s="15">
        <v>23541</v>
      </c>
      <c r="AX2" s="17">
        <f t="shared" ref="AX2:AX29" si="4">SUM(AT2:AW2)</f>
        <v>74561</v>
      </c>
      <c r="AY2" s="16">
        <v>26839</v>
      </c>
      <c r="AZ2" s="15">
        <v>12008</v>
      </c>
      <c r="BA2" s="15">
        <v>2696</v>
      </c>
      <c r="BB2" s="15">
        <v>21501</v>
      </c>
      <c r="BC2" s="18">
        <f t="shared" ref="BC2:BC29" si="5">SUM(AY2:BB2)</f>
        <v>63044</v>
      </c>
      <c r="BD2" s="15">
        <v>31406</v>
      </c>
      <c r="BE2" s="12">
        <v>35585</v>
      </c>
      <c r="BF2" s="12">
        <v>8198</v>
      </c>
      <c r="BG2" s="15">
        <v>2248</v>
      </c>
      <c r="BH2" s="18">
        <f>SUM(BD2:BG2)</f>
        <v>77437</v>
      </c>
      <c r="BI2" s="12">
        <v>31994</v>
      </c>
      <c r="BJ2" s="19">
        <v>25525</v>
      </c>
      <c r="BK2" s="15">
        <v>3796</v>
      </c>
      <c r="BL2" s="20">
        <v>20293</v>
      </c>
      <c r="BM2" s="17">
        <f>SUM(BI2:BL2)</f>
        <v>81608</v>
      </c>
      <c r="BN2" s="17">
        <f>SUM(BO2:BP2)</f>
        <v>18820</v>
      </c>
      <c r="BO2" s="12">
        <v>11526</v>
      </c>
      <c r="BP2" s="19">
        <v>7294</v>
      </c>
      <c r="BQ2" s="15">
        <v>16058</v>
      </c>
      <c r="BR2" s="21">
        <v>18046</v>
      </c>
      <c r="BS2" s="22">
        <f>SUM(BO2:BR2)</f>
        <v>52924</v>
      </c>
      <c r="BT2" s="12">
        <v>13911.09995</v>
      </c>
      <c r="BU2" s="19">
        <v>45858</v>
      </c>
      <c r="BV2" s="15">
        <v>10916</v>
      </c>
      <c r="BW2" s="22">
        <f>SUM(BR2:BV2)</f>
        <v>141655.09995</v>
      </c>
      <c r="BX2" s="21">
        <v>9511</v>
      </c>
      <c r="BY2" s="12">
        <v>23630</v>
      </c>
      <c r="BZ2" s="19">
        <v>40196</v>
      </c>
      <c r="CA2" s="15">
        <v>11584</v>
      </c>
      <c r="CB2" s="22">
        <f>SUM(BX2:CA2)</f>
        <v>84921</v>
      </c>
      <c r="CC2" s="15">
        <v>11510</v>
      </c>
      <c r="CD2" s="15">
        <v>81745</v>
      </c>
      <c r="CE2" s="15">
        <v>15471</v>
      </c>
      <c r="CF2" s="15">
        <v>60469</v>
      </c>
      <c r="CG2" s="22">
        <f t="shared" ref="CG2:CG29" si="6">SUM(CC2:CF2)</f>
        <v>169195</v>
      </c>
      <c r="CH2" s="23">
        <v>16835</v>
      </c>
      <c r="CI2" s="24">
        <v>154645</v>
      </c>
      <c r="CJ2" s="24">
        <v>37362</v>
      </c>
      <c r="CK2" s="24">
        <v>184517</v>
      </c>
      <c r="CL2" s="25">
        <f t="shared" ref="CL2:CL29" si="7">SUM(CH2:CK2)</f>
        <v>393359</v>
      </c>
      <c r="CM2" s="46">
        <v>43353.127179999996</v>
      </c>
      <c r="CN2" s="46">
        <v>206379.45680000001</v>
      </c>
      <c r="CO2" s="46">
        <v>114531.56710000003</v>
      </c>
      <c r="CP2" s="46">
        <v>37224.982799999998</v>
      </c>
      <c r="CQ2" s="48">
        <f>SUM(CM2:CP2)</f>
        <v>401489.13388000004</v>
      </c>
      <c r="CR2" s="46">
        <v>27344.750400000001</v>
      </c>
      <c r="CS2" s="46">
        <v>637.47750000000008</v>
      </c>
      <c r="CT2" s="226">
        <v>11368.1908</v>
      </c>
      <c r="CU2" s="46">
        <v>65428.069299999996</v>
      </c>
      <c r="CV2" s="48">
        <f t="shared" ref="CV2:CV29" si="8">SUM(CR2:CU2)</f>
        <v>104778.488</v>
      </c>
      <c r="CW2" s="46">
        <v>6816.5884999999998</v>
      </c>
      <c r="CX2" s="46">
        <v>122236.28439999999</v>
      </c>
      <c r="CY2" s="46">
        <v>148967.19440000004</v>
      </c>
      <c r="CZ2" s="46">
        <v>6356.3449000000001</v>
      </c>
      <c r="DA2" s="74">
        <f>SUM(CW2:CZ2)</f>
        <v>284376.41220000002</v>
      </c>
      <c r="DB2" s="92">
        <v>33968</v>
      </c>
      <c r="DC2" s="93">
        <v>94955</v>
      </c>
      <c r="DD2" s="94">
        <v>402920</v>
      </c>
      <c r="DE2" s="94">
        <v>134367</v>
      </c>
      <c r="DF2" s="102">
        <f>SUM(Table1[[#This Row],[JUL-SEP-20]:[APR-JUN 21]])</f>
        <v>666210</v>
      </c>
      <c r="DG2" s="188">
        <v>149768</v>
      </c>
      <c r="DH2" s="189">
        <v>140551</v>
      </c>
      <c r="DI2" s="94">
        <v>267242</v>
      </c>
      <c r="DJ2" s="94">
        <v>133595</v>
      </c>
      <c r="DK2" s="195">
        <f>SUM(DG2:DJ2)</f>
        <v>691156</v>
      </c>
      <c r="DL2" s="188">
        <v>1323</v>
      </c>
      <c r="DM2" s="189">
        <v>217355</v>
      </c>
      <c r="DN2" s="94">
        <v>136752</v>
      </c>
      <c r="DO2" s="94">
        <v>106413</v>
      </c>
      <c r="DP2" s="195">
        <f>SUM(DL2:DO2)</f>
        <v>461843</v>
      </c>
      <c r="DQ2" s="188">
        <v>36773</v>
      </c>
      <c r="DR2" s="189">
        <v>5573</v>
      </c>
      <c r="DS2" s="94">
        <v>376655</v>
      </c>
      <c r="DT2" s="225">
        <v>20217</v>
      </c>
      <c r="DU2" s="195">
        <f>SUM(DQ2:DT2)</f>
        <v>439218</v>
      </c>
      <c r="DV2" s="188">
        <v>8849</v>
      </c>
      <c r="DW2" s="189">
        <v>3249</v>
      </c>
      <c r="DX2" s="94">
        <v>368716</v>
      </c>
      <c r="DY2" s="225">
        <v>0</v>
      </c>
      <c r="DZ2" s="195">
        <f>SUM(DV2:DY2)</f>
        <v>380814</v>
      </c>
    </row>
    <row r="3" spans="1:130" x14ac:dyDescent="0.25">
      <c r="A3" s="27" t="s">
        <v>117</v>
      </c>
      <c r="B3" s="28" t="s">
        <v>118</v>
      </c>
      <c r="C3" s="29">
        <v>440</v>
      </c>
      <c r="D3" s="29">
        <f t="shared" ref="D3:D29" si="9">C3/2000</f>
        <v>0.22</v>
      </c>
      <c r="E3" s="30">
        <v>175096</v>
      </c>
      <c r="F3" s="30">
        <v>72718</v>
      </c>
      <c r="G3" s="30">
        <v>25146</v>
      </c>
      <c r="H3" s="30">
        <f>SUM(F3:G3)</f>
        <v>97864</v>
      </c>
      <c r="I3" s="30">
        <f>J3+K3</f>
        <v>130517</v>
      </c>
      <c r="J3" s="30">
        <v>11252</v>
      </c>
      <c r="K3" s="30">
        <v>119265</v>
      </c>
      <c r="L3" s="30">
        <f>M3+N3</f>
        <v>83819</v>
      </c>
      <c r="M3" s="30">
        <v>38542</v>
      </c>
      <c r="N3" s="30">
        <v>45277</v>
      </c>
      <c r="O3" s="30">
        <f>SUM(J3:N3)</f>
        <v>298155</v>
      </c>
      <c r="P3" s="30">
        <v>25292</v>
      </c>
      <c r="Q3" s="30">
        <v>61684</v>
      </c>
      <c r="R3" s="30">
        <v>22998</v>
      </c>
      <c r="S3" s="30">
        <v>11042</v>
      </c>
      <c r="T3" s="31">
        <f>SUM(P3:S3)</f>
        <v>121016</v>
      </c>
      <c r="U3" s="30">
        <v>2090</v>
      </c>
      <c r="V3" s="30">
        <v>68357</v>
      </c>
      <c r="W3" s="30">
        <v>4741</v>
      </c>
      <c r="X3" s="30">
        <v>2688</v>
      </c>
      <c r="Y3" s="32">
        <f>SUM(U3:X3)</f>
        <v>77876</v>
      </c>
      <c r="Z3" s="26">
        <v>8926</v>
      </c>
      <c r="AA3" s="26">
        <v>43384</v>
      </c>
      <c r="AB3" s="26">
        <v>7835</v>
      </c>
      <c r="AC3" s="26">
        <v>671</v>
      </c>
      <c r="AD3" s="32">
        <f t="shared" si="0"/>
        <v>60816</v>
      </c>
      <c r="AE3" s="26">
        <v>458</v>
      </c>
      <c r="AF3" s="26">
        <v>104275</v>
      </c>
      <c r="AG3" s="26">
        <v>25912</v>
      </c>
      <c r="AH3" s="26">
        <v>5209</v>
      </c>
      <c r="AI3" s="32">
        <f t="shared" si="1"/>
        <v>135854</v>
      </c>
      <c r="AJ3" s="26">
        <v>1202</v>
      </c>
      <c r="AK3" s="26">
        <v>150880</v>
      </c>
      <c r="AL3" s="26">
        <v>9684</v>
      </c>
      <c r="AM3" s="26">
        <v>4059</v>
      </c>
      <c r="AN3" s="32">
        <f t="shared" si="2"/>
        <v>165825</v>
      </c>
      <c r="AO3" s="26">
        <v>4754</v>
      </c>
      <c r="AP3" s="26">
        <v>119391</v>
      </c>
      <c r="AQ3" s="26">
        <v>16438</v>
      </c>
      <c r="AR3" s="26">
        <v>2641</v>
      </c>
      <c r="AS3" s="33">
        <f t="shared" si="3"/>
        <v>143224</v>
      </c>
      <c r="AT3" s="26">
        <v>3445</v>
      </c>
      <c r="AU3" s="26">
        <v>46726</v>
      </c>
      <c r="AV3" s="26">
        <v>15221</v>
      </c>
      <c r="AW3" s="26">
        <v>2254</v>
      </c>
      <c r="AX3" s="34">
        <f t="shared" si="4"/>
        <v>67646</v>
      </c>
      <c r="AY3" s="30">
        <v>4294</v>
      </c>
      <c r="AZ3" s="26">
        <v>60861</v>
      </c>
      <c r="BA3" s="30">
        <v>27140</v>
      </c>
      <c r="BB3" s="26">
        <v>3303</v>
      </c>
      <c r="BC3" s="35">
        <f t="shared" si="5"/>
        <v>95598</v>
      </c>
      <c r="BD3" s="36">
        <v>41129</v>
      </c>
      <c r="BE3" s="37">
        <v>56294</v>
      </c>
      <c r="BF3" s="37">
        <v>14100</v>
      </c>
      <c r="BG3" s="36">
        <v>1505</v>
      </c>
      <c r="BH3" s="35">
        <f t="shared" ref="BH3:BH29" si="10">SUM(BD3:BG3)</f>
        <v>113028</v>
      </c>
      <c r="BI3" s="38">
        <v>2238</v>
      </c>
      <c r="BJ3" s="26">
        <v>98880</v>
      </c>
      <c r="BK3" s="26">
        <v>12135</v>
      </c>
      <c r="BL3" s="38">
        <v>507</v>
      </c>
      <c r="BM3" s="34">
        <f t="shared" ref="BM3:BM29" si="11">SUM(BI3:BL3)</f>
        <v>113760</v>
      </c>
      <c r="BN3" s="34">
        <f t="shared" ref="BN3:BN29" si="12">SUM(BO3:BP3)</f>
        <v>122851</v>
      </c>
      <c r="BO3" s="39">
        <v>10080</v>
      </c>
      <c r="BP3" s="26">
        <v>112771</v>
      </c>
      <c r="BQ3" s="26">
        <v>17702</v>
      </c>
      <c r="BR3" s="38">
        <v>3931</v>
      </c>
      <c r="BS3" s="35">
        <f t="shared" ref="BS3:BS9" si="13">SUM(BO3:BR3)</f>
        <v>144484</v>
      </c>
      <c r="BT3" s="39">
        <v>748.76300000000003</v>
      </c>
      <c r="BU3" s="26">
        <v>59740</v>
      </c>
      <c r="BV3" s="26">
        <v>8729</v>
      </c>
      <c r="BW3" s="35">
        <f t="shared" ref="BW3:BW29" si="14">SUM(BR3:BV3)</f>
        <v>217632.76300000001</v>
      </c>
      <c r="BX3" s="38">
        <v>733</v>
      </c>
      <c r="BY3" s="39">
        <v>4538</v>
      </c>
      <c r="BZ3" s="26">
        <v>50572</v>
      </c>
      <c r="CA3" s="26">
        <v>14350</v>
      </c>
      <c r="CB3" s="35">
        <f t="shared" ref="CB3:CB29" si="15">SUM(BX3:CA3)</f>
        <v>70193</v>
      </c>
      <c r="CC3" s="38">
        <v>5770</v>
      </c>
      <c r="CD3" s="38">
        <v>1141</v>
      </c>
      <c r="CE3" s="38">
        <v>67690</v>
      </c>
      <c r="CF3" s="38">
        <v>18827</v>
      </c>
      <c r="CG3" s="35">
        <f t="shared" si="6"/>
        <v>93428</v>
      </c>
      <c r="CH3" s="30">
        <v>10338</v>
      </c>
      <c r="CI3" s="40">
        <v>618</v>
      </c>
      <c r="CJ3" s="41">
        <v>50927</v>
      </c>
      <c r="CK3" s="41">
        <v>14015</v>
      </c>
      <c r="CL3" s="35">
        <f t="shared" si="7"/>
        <v>75898</v>
      </c>
      <c r="CM3" s="46">
        <v>1660.4017799999999</v>
      </c>
      <c r="CN3" s="46">
        <v>22645.207229999996</v>
      </c>
      <c r="CO3" s="46">
        <v>42063.302680000001</v>
      </c>
      <c r="CP3" s="46">
        <v>9242.5335500000019</v>
      </c>
      <c r="CQ3" s="47">
        <f>SUM(CM3:CP3)</f>
        <v>75611.445240000001</v>
      </c>
      <c r="CR3" s="46">
        <v>1177.5870799999998</v>
      </c>
      <c r="CS3" s="46">
        <v>578.44360000000006</v>
      </c>
      <c r="CT3" s="226">
        <v>28749.775400000006</v>
      </c>
      <c r="CU3" s="46">
        <v>5377.4989000000023</v>
      </c>
      <c r="CV3" s="47">
        <f t="shared" si="8"/>
        <v>35883.304980000008</v>
      </c>
      <c r="CW3" s="46">
        <v>1921.5926200000001</v>
      </c>
      <c r="CX3" s="46">
        <v>1090.53466</v>
      </c>
      <c r="CY3" s="46">
        <v>45269.586630000013</v>
      </c>
      <c r="CZ3" s="46">
        <v>5534.8856100000012</v>
      </c>
      <c r="DA3" s="47">
        <f t="shared" ref="DA3:DA29" si="16">SUM(CW3:CZ3)</f>
        <v>53816.599520000018</v>
      </c>
      <c r="DB3" s="77">
        <v>6866</v>
      </c>
      <c r="DC3" s="95">
        <v>6585</v>
      </c>
      <c r="DD3" s="95">
        <v>71757</v>
      </c>
      <c r="DE3" s="95">
        <v>12027</v>
      </c>
      <c r="DF3" s="177">
        <f>SUM(Table1[[#This Row],[JUL-SEP-20]:[APR-JUN 21]])</f>
        <v>97235</v>
      </c>
      <c r="DG3" s="190">
        <v>4030</v>
      </c>
      <c r="DH3" s="95">
        <v>10031</v>
      </c>
      <c r="DI3" s="95">
        <v>48999</v>
      </c>
      <c r="DJ3" s="95">
        <v>5356</v>
      </c>
      <c r="DK3" s="177">
        <f>SUM(DG3:DJ3)</f>
        <v>68416</v>
      </c>
      <c r="DL3" s="190">
        <v>564</v>
      </c>
      <c r="DM3" s="95">
        <v>5473</v>
      </c>
      <c r="DN3" s="95">
        <v>41189</v>
      </c>
      <c r="DO3" s="95">
        <v>6980</v>
      </c>
      <c r="DP3" s="177">
        <f>SUM(DL3:DO3)</f>
        <v>54206</v>
      </c>
      <c r="DQ3" s="190">
        <v>1621</v>
      </c>
      <c r="DR3" s="95">
        <v>67</v>
      </c>
      <c r="DS3" s="95">
        <v>30135</v>
      </c>
      <c r="DT3" s="95">
        <v>12199</v>
      </c>
      <c r="DU3" s="177">
        <f>SUM(DQ3:DT3)</f>
        <v>44022</v>
      </c>
      <c r="DV3" s="190">
        <v>1251</v>
      </c>
      <c r="DW3" s="95">
        <v>2698</v>
      </c>
      <c r="DX3" s="95">
        <v>43686</v>
      </c>
      <c r="DY3" s="95">
        <v>0</v>
      </c>
      <c r="DZ3" s="177">
        <f>SUM(DV3:DY3)</f>
        <v>47635</v>
      </c>
    </row>
    <row r="4" spans="1:130" x14ac:dyDescent="0.25">
      <c r="A4" s="12" t="s">
        <v>119</v>
      </c>
      <c r="B4" s="13" t="s">
        <v>120</v>
      </c>
      <c r="C4" s="14">
        <v>880</v>
      </c>
      <c r="D4" s="14">
        <f t="shared" si="9"/>
        <v>0.44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5">
        <v>536</v>
      </c>
      <c r="U4" s="15"/>
      <c r="V4" s="15"/>
      <c r="W4" s="15"/>
      <c r="X4" s="15"/>
      <c r="Y4" s="15">
        <v>1280</v>
      </c>
      <c r="Z4" s="15">
        <v>139</v>
      </c>
      <c r="AA4" s="15">
        <v>839</v>
      </c>
      <c r="AB4" s="15">
        <v>901</v>
      </c>
      <c r="AC4" s="15">
        <v>13813</v>
      </c>
      <c r="AD4" s="15">
        <f t="shared" si="0"/>
        <v>15692</v>
      </c>
      <c r="AE4" s="15">
        <v>55</v>
      </c>
      <c r="AF4" s="15">
        <v>170</v>
      </c>
      <c r="AG4" s="15">
        <v>42655</v>
      </c>
      <c r="AH4" s="15">
        <v>14637</v>
      </c>
      <c r="AI4" s="15">
        <f t="shared" si="1"/>
        <v>57517</v>
      </c>
      <c r="AJ4" s="15">
        <v>9802</v>
      </c>
      <c r="AK4" s="15">
        <v>3218</v>
      </c>
      <c r="AL4" s="15">
        <v>28348</v>
      </c>
      <c r="AM4" s="15">
        <v>49641</v>
      </c>
      <c r="AN4" s="15">
        <f t="shared" si="2"/>
        <v>91009</v>
      </c>
      <c r="AO4" s="15">
        <v>702</v>
      </c>
      <c r="AP4" s="15">
        <v>16014</v>
      </c>
      <c r="AQ4" s="15">
        <v>70027</v>
      </c>
      <c r="AR4" s="15">
        <v>49157</v>
      </c>
      <c r="AS4" s="17">
        <f t="shared" si="3"/>
        <v>135900</v>
      </c>
      <c r="AT4" s="15">
        <v>83</v>
      </c>
      <c r="AU4" s="15">
        <v>1663</v>
      </c>
      <c r="AV4" s="15">
        <v>38521</v>
      </c>
      <c r="AW4" s="15">
        <v>39975</v>
      </c>
      <c r="AX4" s="17">
        <f t="shared" si="4"/>
        <v>80242</v>
      </c>
      <c r="AY4" s="12">
        <v>94</v>
      </c>
      <c r="AZ4" s="15">
        <v>272</v>
      </c>
      <c r="BA4" s="15">
        <v>26169</v>
      </c>
      <c r="BB4" s="15">
        <v>67147</v>
      </c>
      <c r="BC4" s="18">
        <f t="shared" si="5"/>
        <v>93682</v>
      </c>
      <c r="BD4" s="12">
        <v>50</v>
      </c>
      <c r="BE4" s="12">
        <v>15657</v>
      </c>
      <c r="BF4" s="12">
        <v>25171</v>
      </c>
      <c r="BG4" s="15">
        <v>19390</v>
      </c>
      <c r="BH4" s="18">
        <f t="shared" si="10"/>
        <v>60268</v>
      </c>
      <c r="BI4" s="12">
        <v>95</v>
      </c>
      <c r="BJ4" s="15">
        <v>14253</v>
      </c>
      <c r="BK4" s="15">
        <v>38513</v>
      </c>
      <c r="BL4" s="20">
        <v>59050</v>
      </c>
      <c r="BM4" s="17">
        <f t="shared" si="11"/>
        <v>111911</v>
      </c>
      <c r="BN4" s="17">
        <f t="shared" si="12"/>
        <v>17786</v>
      </c>
      <c r="BO4" s="15">
        <v>110</v>
      </c>
      <c r="BP4" s="15">
        <v>17676</v>
      </c>
      <c r="BQ4" s="15">
        <v>53418</v>
      </c>
      <c r="BR4" s="20">
        <v>53260</v>
      </c>
      <c r="BS4" s="25">
        <f t="shared" si="13"/>
        <v>124464</v>
      </c>
      <c r="BT4" s="15">
        <v>3276.7959999999998</v>
      </c>
      <c r="BU4" s="15">
        <v>1807.9803999999999</v>
      </c>
      <c r="BV4" s="15">
        <v>52928.685299999997</v>
      </c>
      <c r="BW4" s="25">
        <f t="shared" si="14"/>
        <v>235737.46169999999</v>
      </c>
      <c r="BX4" s="20">
        <v>69026</v>
      </c>
      <c r="BY4" s="15">
        <v>76</v>
      </c>
      <c r="BZ4" s="15">
        <v>2570</v>
      </c>
      <c r="CA4" s="15">
        <v>100135</v>
      </c>
      <c r="CB4" s="25">
        <f t="shared" si="15"/>
        <v>171807</v>
      </c>
      <c r="CC4" s="20">
        <v>48843</v>
      </c>
      <c r="CD4" s="20">
        <v>76</v>
      </c>
      <c r="CE4" s="12">
        <v>37433</v>
      </c>
      <c r="CF4" s="12">
        <v>53236</v>
      </c>
      <c r="CG4" s="25">
        <f t="shared" si="6"/>
        <v>139588</v>
      </c>
      <c r="CH4" s="23">
        <v>71167</v>
      </c>
      <c r="CI4" s="24">
        <v>3343</v>
      </c>
      <c r="CJ4" s="24">
        <v>2027</v>
      </c>
      <c r="CK4" s="24">
        <v>94220</v>
      </c>
      <c r="CL4" s="25">
        <f t="shared" si="7"/>
        <v>170757</v>
      </c>
      <c r="CM4" s="46">
        <v>109857.03425000001</v>
      </c>
      <c r="CN4" s="46">
        <v>75</v>
      </c>
      <c r="CO4" s="46">
        <v>18330.335800000001</v>
      </c>
      <c r="CP4" s="46">
        <v>121961.30340000003</v>
      </c>
      <c r="CQ4" s="48">
        <f t="shared" ref="CQ4:CQ29" si="17">SUM(CM4:CP4)</f>
        <v>250223.67345000006</v>
      </c>
      <c r="CR4" s="46">
        <v>111016.4688</v>
      </c>
      <c r="CS4" s="46">
        <v>1662.296</v>
      </c>
      <c r="CT4" s="46">
        <v>355</v>
      </c>
      <c r="CU4" s="46">
        <v>121239.66490000002</v>
      </c>
      <c r="CV4" s="48">
        <f t="shared" si="8"/>
        <v>234273.42970000004</v>
      </c>
      <c r="CW4" s="46">
        <v>107483.36749999998</v>
      </c>
      <c r="CX4" s="46">
        <v>62.397999999999996</v>
      </c>
      <c r="CY4" s="46">
        <v>105700.53180000001</v>
      </c>
      <c r="CZ4" s="46">
        <v>147630.37139999995</v>
      </c>
      <c r="DA4" s="48">
        <f>SUM(CW4:CZ4)</f>
        <v>360876.66869999992</v>
      </c>
      <c r="DB4" s="77">
        <v>95883</v>
      </c>
      <c r="DC4" s="96">
        <v>1</v>
      </c>
      <c r="DD4" s="95">
        <v>35752</v>
      </c>
      <c r="DE4" s="95">
        <v>269605</v>
      </c>
      <c r="DF4" s="103">
        <f>SUM(Table1[[#This Row],[JUL-SEP-20]:[APR-JUN 21]])</f>
        <v>401241</v>
      </c>
      <c r="DG4" s="190">
        <v>70239</v>
      </c>
      <c r="DH4" s="95">
        <v>3212</v>
      </c>
      <c r="DI4" s="95">
        <v>150454</v>
      </c>
      <c r="DJ4" s="95">
        <v>81307</v>
      </c>
      <c r="DK4" s="196">
        <f>SUM(DG4:DJ4)</f>
        <v>305212</v>
      </c>
      <c r="DL4" s="190">
        <v>32700</v>
      </c>
      <c r="DM4" s="95">
        <v>29092</v>
      </c>
      <c r="DN4" s="95">
        <v>52281</v>
      </c>
      <c r="DO4" s="95">
        <v>125287</v>
      </c>
      <c r="DP4" s="196">
        <f>SUM(DL4:DO4)</f>
        <v>239360</v>
      </c>
      <c r="DQ4" s="190">
        <v>27920</v>
      </c>
      <c r="DR4" s="95">
        <v>0</v>
      </c>
      <c r="DS4" s="95">
        <v>21074</v>
      </c>
      <c r="DT4" s="95">
        <v>192569</v>
      </c>
      <c r="DU4" s="196">
        <f>SUM(DQ4:DT4)</f>
        <v>241563</v>
      </c>
      <c r="DV4" s="190">
        <v>22408</v>
      </c>
      <c r="DW4" s="95">
        <v>8</v>
      </c>
      <c r="DX4" s="95">
        <v>24583</v>
      </c>
      <c r="DY4" s="95">
        <v>0</v>
      </c>
      <c r="DZ4" s="196">
        <f>SUM(DV4:DY4)</f>
        <v>46999</v>
      </c>
    </row>
    <row r="5" spans="1:130" x14ac:dyDescent="0.25">
      <c r="A5" s="27" t="s">
        <v>121</v>
      </c>
      <c r="B5" s="28" t="s">
        <v>122</v>
      </c>
      <c r="C5" s="29">
        <v>1465</v>
      </c>
      <c r="D5" s="29">
        <f t="shared" si="9"/>
        <v>0.73250000000000004</v>
      </c>
      <c r="E5" s="30">
        <v>43173</v>
      </c>
      <c r="F5" s="30">
        <v>24371</v>
      </c>
      <c r="G5" s="30">
        <v>18101</v>
      </c>
      <c r="H5" s="30">
        <f t="shared" ref="H5:H15" si="18">SUM(F5:G5)</f>
        <v>42472</v>
      </c>
      <c r="I5" s="30">
        <f t="shared" ref="I5:I27" si="19">J5+K5</f>
        <v>25174</v>
      </c>
      <c r="J5" s="30">
        <v>6625</v>
      </c>
      <c r="K5" s="30">
        <v>18549</v>
      </c>
      <c r="L5" s="30">
        <f t="shared" ref="L5:L27" si="20">M5+N5</f>
        <v>29242</v>
      </c>
      <c r="M5" s="30">
        <v>24286</v>
      </c>
      <c r="N5" s="30">
        <v>4956</v>
      </c>
      <c r="O5" s="30">
        <f>SUM(J5:N5)</f>
        <v>83658</v>
      </c>
      <c r="P5" s="30">
        <v>9611</v>
      </c>
      <c r="Q5" s="30">
        <v>10994</v>
      </c>
      <c r="R5" s="30">
        <v>24812</v>
      </c>
      <c r="S5" s="30">
        <v>8728.4</v>
      </c>
      <c r="T5" s="31">
        <f>SUM(P5:S5)</f>
        <v>54145.4</v>
      </c>
      <c r="U5" s="30">
        <v>9042</v>
      </c>
      <c r="V5" s="30">
        <v>28691</v>
      </c>
      <c r="W5" s="30">
        <v>16879</v>
      </c>
      <c r="X5" s="30">
        <v>7644</v>
      </c>
      <c r="Y5" s="32">
        <f t="shared" ref="Y5:Y18" si="21">SUM(U5:X5)</f>
        <v>62256</v>
      </c>
      <c r="Z5" s="26">
        <v>8344</v>
      </c>
      <c r="AA5" s="26">
        <v>23741</v>
      </c>
      <c r="AB5" s="26">
        <v>20719</v>
      </c>
      <c r="AC5" s="26">
        <v>2542</v>
      </c>
      <c r="AD5" s="32">
        <f t="shared" si="0"/>
        <v>55346</v>
      </c>
      <c r="AE5" s="26">
        <v>9313</v>
      </c>
      <c r="AF5" s="26">
        <v>28410</v>
      </c>
      <c r="AG5" s="26">
        <v>6903</v>
      </c>
      <c r="AH5" s="26">
        <v>2380</v>
      </c>
      <c r="AI5" s="32">
        <f t="shared" si="1"/>
        <v>47006</v>
      </c>
      <c r="AJ5" s="26">
        <v>9802</v>
      </c>
      <c r="AK5" s="26">
        <v>26733</v>
      </c>
      <c r="AL5" s="26">
        <v>19881</v>
      </c>
      <c r="AM5" s="26">
        <v>2233</v>
      </c>
      <c r="AN5" s="32">
        <f t="shared" si="2"/>
        <v>58649</v>
      </c>
      <c r="AO5" s="26">
        <v>9976</v>
      </c>
      <c r="AP5" s="26">
        <v>23411</v>
      </c>
      <c r="AQ5" s="26">
        <v>12998</v>
      </c>
      <c r="AR5" s="26">
        <v>2443</v>
      </c>
      <c r="AS5" s="33">
        <f t="shared" si="3"/>
        <v>48828</v>
      </c>
      <c r="AT5" s="26">
        <v>13958</v>
      </c>
      <c r="AU5" s="26">
        <v>31633</v>
      </c>
      <c r="AV5" s="26">
        <v>13030</v>
      </c>
      <c r="AW5" s="26">
        <v>2104</v>
      </c>
      <c r="AX5" s="34">
        <f t="shared" si="4"/>
        <v>60725</v>
      </c>
      <c r="AY5" s="30">
        <v>13866</v>
      </c>
      <c r="AZ5" s="26">
        <v>30290</v>
      </c>
      <c r="BA5" s="26">
        <v>14303</v>
      </c>
      <c r="BB5" s="26">
        <v>4719</v>
      </c>
      <c r="BC5" s="35">
        <f t="shared" si="5"/>
        <v>63178</v>
      </c>
      <c r="BD5" s="36">
        <v>18892</v>
      </c>
      <c r="BE5" s="37">
        <v>44510</v>
      </c>
      <c r="BF5" s="37">
        <v>19521</v>
      </c>
      <c r="BG5" s="36">
        <v>9300</v>
      </c>
      <c r="BH5" s="35">
        <f t="shared" si="10"/>
        <v>92223</v>
      </c>
      <c r="BI5" s="30">
        <v>23332</v>
      </c>
      <c r="BJ5" s="26">
        <v>52283</v>
      </c>
      <c r="BK5" s="26">
        <v>18610</v>
      </c>
      <c r="BL5" s="38">
        <v>9134</v>
      </c>
      <c r="BM5" s="34">
        <f t="shared" si="11"/>
        <v>103359</v>
      </c>
      <c r="BN5" s="34">
        <f t="shared" si="12"/>
        <v>67857</v>
      </c>
      <c r="BO5" s="26">
        <v>18521</v>
      </c>
      <c r="BP5" s="26">
        <v>49336</v>
      </c>
      <c r="BQ5" s="26">
        <v>23316</v>
      </c>
      <c r="BR5" s="38">
        <v>4726</v>
      </c>
      <c r="BS5" s="35">
        <f t="shared" si="13"/>
        <v>95899</v>
      </c>
      <c r="BT5" s="26">
        <v>16732.893540000001</v>
      </c>
      <c r="BU5" s="26">
        <v>38795.611559999998</v>
      </c>
      <c r="BV5" s="26">
        <v>24884.853599999999</v>
      </c>
      <c r="BW5" s="35">
        <f t="shared" si="14"/>
        <v>181038.35870000001</v>
      </c>
      <c r="BX5" s="38">
        <v>4752</v>
      </c>
      <c r="BY5" s="26">
        <v>11175</v>
      </c>
      <c r="BZ5" s="26">
        <v>28137</v>
      </c>
      <c r="CA5" s="26">
        <v>17509</v>
      </c>
      <c r="CB5" s="35">
        <f t="shared" si="15"/>
        <v>61573</v>
      </c>
      <c r="CC5" s="38">
        <v>7931</v>
      </c>
      <c r="CD5" s="38">
        <v>11808</v>
      </c>
      <c r="CE5" s="30">
        <v>34125</v>
      </c>
      <c r="CF5" s="30">
        <v>18319</v>
      </c>
      <c r="CG5" s="35">
        <f t="shared" si="6"/>
        <v>72183</v>
      </c>
      <c r="CH5" s="30">
        <v>7500</v>
      </c>
      <c r="CI5" s="40">
        <v>12075</v>
      </c>
      <c r="CJ5" s="41">
        <v>27745</v>
      </c>
      <c r="CK5" s="41">
        <v>20189</v>
      </c>
      <c r="CL5" s="35">
        <f t="shared" si="7"/>
        <v>67509</v>
      </c>
      <c r="CM5" s="46">
        <v>5193.4176599999992</v>
      </c>
      <c r="CN5" s="46">
        <v>8534.7012300000006</v>
      </c>
      <c r="CO5" s="46">
        <v>23648.422709999995</v>
      </c>
      <c r="CP5" s="46">
        <v>18319.888050000001</v>
      </c>
      <c r="CQ5" s="47">
        <f t="shared" si="17"/>
        <v>55696.429649999998</v>
      </c>
      <c r="CR5" s="46">
        <f>341.008529999999+2139.6761</f>
        <v>2480.6846299999993</v>
      </c>
      <c r="CS5" s="46">
        <v>6993.4352199999994</v>
      </c>
      <c r="CT5" s="46">
        <f>32524.12008+1718.96026</f>
        <v>34243.08034</v>
      </c>
      <c r="CU5" s="46">
        <f>16418.95188-1805.64513</f>
        <v>14613.30675</v>
      </c>
      <c r="CV5" s="47">
        <f t="shared" si="8"/>
        <v>58330.506940000007</v>
      </c>
      <c r="CW5" s="46">
        <f>1485.92772+71.80217</f>
        <v>1557.7298899999998</v>
      </c>
      <c r="CX5" s="46">
        <v>7097.6012399999991</v>
      </c>
      <c r="CY5" s="46">
        <v>31378.009540000014</v>
      </c>
      <c r="CZ5" s="46">
        <v>9084.6470799999988</v>
      </c>
      <c r="DA5" s="47">
        <f t="shared" si="16"/>
        <v>49117.987750000015</v>
      </c>
      <c r="DB5" s="73">
        <v>2936</v>
      </c>
      <c r="DC5" s="97">
        <v>9687</v>
      </c>
      <c r="DD5" s="97">
        <v>26937</v>
      </c>
      <c r="DE5" s="97">
        <v>14261</v>
      </c>
      <c r="DF5" s="174">
        <f>SUM(Table1[[#This Row],[JUL-SEP-20]:[APR-JUN 21]])</f>
        <v>53821</v>
      </c>
      <c r="DG5" s="190">
        <v>1889</v>
      </c>
      <c r="DH5" s="95">
        <v>6279</v>
      </c>
      <c r="DI5" s="95">
        <v>23321</v>
      </c>
      <c r="DJ5" s="95">
        <v>13102</v>
      </c>
      <c r="DK5" s="174">
        <f>SUM(DG5:DJ5)</f>
        <v>44591</v>
      </c>
      <c r="DL5" s="190">
        <v>1123</v>
      </c>
      <c r="DM5" s="95">
        <v>7976</v>
      </c>
      <c r="DN5" s="95">
        <v>19309</v>
      </c>
      <c r="DO5" s="95">
        <v>14068</v>
      </c>
      <c r="DP5" s="174">
        <f>SUM(DL5:DO5)</f>
        <v>42476</v>
      </c>
      <c r="DQ5" s="190">
        <v>5253</v>
      </c>
      <c r="DR5" s="95">
        <v>18858</v>
      </c>
      <c r="DS5" s="95">
        <v>23319</v>
      </c>
      <c r="DT5" s="95">
        <v>13766</v>
      </c>
      <c r="DU5" s="174">
        <f>SUM(DQ5:DT5)</f>
        <v>61196</v>
      </c>
      <c r="DV5" s="190">
        <v>868</v>
      </c>
      <c r="DW5" s="95">
        <v>8482</v>
      </c>
      <c r="DX5" s="95">
        <v>20455</v>
      </c>
      <c r="DY5" s="95">
        <v>0</v>
      </c>
      <c r="DZ5" s="174">
        <f>SUM(DV5:DY5)</f>
        <v>29805</v>
      </c>
    </row>
    <row r="6" spans="1:130" x14ac:dyDescent="0.25">
      <c r="A6" s="12" t="s">
        <v>123</v>
      </c>
      <c r="B6" s="42" t="s">
        <v>124</v>
      </c>
      <c r="C6" s="14">
        <v>206</v>
      </c>
      <c r="D6" s="14">
        <f t="shared" si="9"/>
        <v>0.10299999999999999</v>
      </c>
      <c r="E6" s="12">
        <v>3290823</v>
      </c>
      <c r="F6" s="12">
        <v>2436006</v>
      </c>
      <c r="G6" s="12">
        <v>623757</v>
      </c>
      <c r="H6" s="12">
        <f t="shared" si="18"/>
        <v>3059763</v>
      </c>
      <c r="I6" s="12">
        <f t="shared" si="19"/>
        <v>2871377</v>
      </c>
      <c r="J6" s="12">
        <v>1374349</v>
      </c>
      <c r="K6" s="12">
        <v>1497028</v>
      </c>
      <c r="L6" s="12">
        <f t="shared" si="20"/>
        <v>708012</v>
      </c>
      <c r="M6" s="12">
        <v>535099</v>
      </c>
      <c r="N6" s="12">
        <v>172913</v>
      </c>
      <c r="O6" s="12">
        <f>SUM(J6:N6)</f>
        <v>4287401</v>
      </c>
      <c r="P6" s="12">
        <v>1522097</v>
      </c>
      <c r="Q6" s="12">
        <v>1672023</v>
      </c>
      <c r="R6" s="12">
        <v>1048621</v>
      </c>
      <c r="S6" s="12">
        <v>150355</v>
      </c>
      <c r="T6" s="15">
        <f t="shared" ref="T6:T15" si="22">SUM(P6:S6)</f>
        <v>4393096</v>
      </c>
      <c r="U6" s="15">
        <v>1687852</v>
      </c>
      <c r="V6" s="15">
        <v>1820753</v>
      </c>
      <c r="W6" s="15">
        <v>736105</v>
      </c>
      <c r="X6" s="15">
        <v>110857</v>
      </c>
      <c r="Y6" s="15">
        <f t="shared" si="21"/>
        <v>4355567</v>
      </c>
      <c r="Z6" s="15">
        <v>1496819</v>
      </c>
      <c r="AA6" s="15">
        <v>1736576</v>
      </c>
      <c r="AB6" s="15">
        <v>778709</v>
      </c>
      <c r="AC6" s="15">
        <v>173405</v>
      </c>
      <c r="AD6" s="15">
        <f t="shared" si="0"/>
        <v>4185509</v>
      </c>
      <c r="AE6" s="15">
        <v>1332616</v>
      </c>
      <c r="AF6" s="15">
        <v>1843939</v>
      </c>
      <c r="AG6" s="15">
        <v>613475</v>
      </c>
      <c r="AH6" s="15">
        <v>122030</v>
      </c>
      <c r="AI6" s="15">
        <f t="shared" si="1"/>
        <v>3912060</v>
      </c>
      <c r="AJ6" s="15">
        <v>1574882</v>
      </c>
      <c r="AK6" s="15">
        <v>2024298</v>
      </c>
      <c r="AL6" s="15">
        <v>662355</v>
      </c>
      <c r="AM6" s="15">
        <v>107401</v>
      </c>
      <c r="AN6" s="15">
        <f t="shared" si="2"/>
        <v>4368936</v>
      </c>
      <c r="AO6" s="15">
        <v>1572702</v>
      </c>
      <c r="AP6" s="15">
        <v>1915194</v>
      </c>
      <c r="AQ6" s="15">
        <v>666396</v>
      </c>
      <c r="AR6" s="15">
        <v>120308</v>
      </c>
      <c r="AS6" s="17">
        <f t="shared" si="3"/>
        <v>4274600</v>
      </c>
      <c r="AT6" s="15">
        <v>2061896</v>
      </c>
      <c r="AU6" s="15">
        <v>2004265</v>
      </c>
      <c r="AV6" s="15">
        <v>660508</v>
      </c>
      <c r="AW6" s="15">
        <v>215954</v>
      </c>
      <c r="AX6" s="17">
        <f t="shared" si="4"/>
        <v>4942623</v>
      </c>
      <c r="AY6" s="12">
        <v>2318596</v>
      </c>
      <c r="AZ6" s="15">
        <v>2117354</v>
      </c>
      <c r="BA6" s="15">
        <v>796509</v>
      </c>
      <c r="BB6" s="15">
        <v>157414</v>
      </c>
      <c r="BC6" s="18">
        <f t="shared" si="5"/>
        <v>5389873</v>
      </c>
      <c r="BD6" s="12">
        <v>2327806</v>
      </c>
      <c r="BE6" s="12">
        <v>2480557</v>
      </c>
      <c r="BF6" s="12">
        <v>563493</v>
      </c>
      <c r="BG6" s="15">
        <v>154254</v>
      </c>
      <c r="BH6" s="18">
        <f t="shared" si="10"/>
        <v>5526110</v>
      </c>
      <c r="BI6" s="12">
        <v>3024140</v>
      </c>
      <c r="BJ6" s="15">
        <v>2284471</v>
      </c>
      <c r="BK6" s="15">
        <v>562970</v>
      </c>
      <c r="BL6" s="20">
        <v>220101</v>
      </c>
      <c r="BM6" s="17">
        <f t="shared" si="11"/>
        <v>6091682</v>
      </c>
      <c r="BN6" s="17">
        <f t="shared" si="12"/>
        <v>4553371</v>
      </c>
      <c r="BO6" s="15">
        <v>2252609</v>
      </c>
      <c r="BP6" s="15">
        <v>2300762</v>
      </c>
      <c r="BQ6" s="15">
        <v>776517</v>
      </c>
      <c r="BR6" s="20">
        <v>108643</v>
      </c>
      <c r="BS6" s="25">
        <f t="shared" si="13"/>
        <v>5438531</v>
      </c>
      <c r="BT6" s="15">
        <v>2196845.5303000002</v>
      </c>
      <c r="BU6" s="15">
        <v>1884973.0997599999</v>
      </c>
      <c r="BV6" s="15">
        <v>688621.20435000001</v>
      </c>
      <c r="BW6" s="25">
        <f t="shared" si="14"/>
        <v>10317613.834410001</v>
      </c>
      <c r="BX6" s="20">
        <v>114588</v>
      </c>
      <c r="BY6" s="15">
        <v>1562763</v>
      </c>
      <c r="BZ6" s="15">
        <v>1248943</v>
      </c>
      <c r="CA6" s="15">
        <v>620669</v>
      </c>
      <c r="CB6" s="25">
        <f t="shared" si="15"/>
        <v>3546963</v>
      </c>
      <c r="CC6" s="20">
        <v>156728</v>
      </c>
      <c r="CD6" s="43">
        <v>1631918</v>
      </c>
      <c r="CE6" s="44">
        <v>1452032</v>
      </c>
      <c r="CF6" s="44">
        <v>807641</v>
      </c>
      <c r="CG6" s="25">
        <f t="shared" si="6"/>
        <v>4048319</v>
      </c>
      <c r="CH6" s="23">
        <v>312970</v>
      </c>
      <c r="CI6" s="24">
        <v>1487578</v>
      </c>
      <c r="CJ6" s="24">
        <v>1083836</v>
      </c>
      <c r="CK6" s="24">
        <v>505582</v>
      </c>
      <c r="CL6" s="25">
        <f t="shared" si="7"/>
        <v>3389966</v>
      </c>
      <c r="CM6" s="46">
        <v>98935.760360000015</v>
      </c>
      <c r="CN6" s="46">
        <v>1463602.7102299999</v>
      </c>
      <c r="CO6" s="46">
        <v>1179296.79253</v>
      </c>
      <c r="CP6" s="46">
        <v>593223.30624000006</v>
      </c>
      <c r="CQ6" s="48">
        <f>SUM(CM6:CP6)</f>
        <v>3335058.5693600001</v>
      </c>
      <c r="CR6" s="46">
        <v>105664.6376</v>
      </c>
      <c r="CS6" s="46">
        <v>1470155.71248</v>
      </c>
      <c r="CT6" s="46">
        <v>1257657.0225000002</v>
      </c>
      <c r="CU6" s="46">
        <v>536267.74130999995</v>
      </c>
      <c r="CV6" s="48">
        <f t="shared" si="8"/>
        <v>3369745.1138900002</v>
      </c>
      <c r="CW6" s="46">
        <v>138763.14468000003</v>
      </c>
      <c r="CX6" s="46">
        <v>1433638.96908</v>
      </c>
      <c r="CY6" s="46">
        <v>1428294.28758</v>
      </c>
      <c r="CZ6" s="46">
        <v>656020.22863000003</v>
      </c>
      <c r="DA6" s="25">
        <f t="shared" si="16"/>
        <v>3656716.6299700001</v>
      </c>
      <c r="DB6" s="98">
        <v>170820</v>
      </c>
      <c r="DC6" s="97">
        <v>1423446</v>
      </c>
      <c r="DD6" s="97">
        <v>1362658</v>
      </c>
      <c r="DE6" s="97">
        <v>589510</v>
      </c>
      <c r="DF6" s="104">
        <f>SUM(Table1[[#This Row],[JUL-SEP-20]:[APR-JUN 21]])</f>
        <v>3546434</v>
      </c>
      <c r="DG6" s="191">
        <v>153982</v>
      </c>
      <c r="DH6" s="97">
        <v>1211108</v>
      </c>
      <c r="DI6" s="97">
        <v>1286538</v>
      </c>
      <c r="DJ6" s="97">
        <v>566657</v>
      </c>
      <c r="DK6" s="197">
        <f t="shared" ref="DK6:DK12" si="23">SUM(DG6:DJ6)</f>
        <v>3218285</v>
      </c>
      <c r="DL6" s="191">
        <v>106656</v>
      </c>
      <c r="DM6" s="97">
        <v>1136603</v>
      </c>
      <c r="DN6" s="97">
        <v>1082285</v>
      </c>
      <c r="DO6" s="97">
        <v>441384</v>
      </c>
      <c r="DP6" s="197">
        <f t="shared" ref="DP6:DP12" si="24">SUM(DL6:DO6)</f>
        <v>2766928</v>
      </c>
      <c r="DQ6" s="191">
        <v>108630</v>
      </c>
      <c r="DR6" s="97">
        <v>1308706</v>
      </c>
      <c r="DS6" s="97">
        <v>1177126</v>
      </c>
      <c r="DT6" s="97">
        <v>541781</v>
      </c>
      <c r="DU6" s="197">
        <f t="shared" ref="DU6:DU12" si="25">SUM(DQ6:DT6)</f>
        <v>3136243</v>
      </c>
      <c r="DV6" s="191">
        <v>83698</v>
      </c>
      <c r="DW6" s="97">
        <v>1445864</v>
      </c>
      <c r="DX6" s="97">
        <v>1401417</v>
      </c>
      <c r="DY6" s="97">
        <v>0</v>
      </c>
      <c r="DZ6" s="197">
        <f t="shared" ref="DZ6:DZ13" si="26">SUM(DV6:DY6)</f>
        <v>2930979</v>
      </c>
    </row>
    <row r="7" spans="1:130" x14ac:dyDescent="0.25">
      <c r="A7" s="49" t="s">
        <v>125</v>
      </c>
      <c r="B7" s="50" t="s">
        <v>126</v>
      </c>
      <c r="C7" s="51">
        <v>1240</v>
      </c>
      <c r="D7" s="51">
        <f t="shared" si="9"/>
        <v>0.62</v>
      </c>
      <c r="E7" s="49">
        <v>117297</v>
      </c>
      <c r="F7" s="49">
        <v>36261</v>
      </c>
      <c r="G7" s="49">
        <v>14360</v>
      </c>
      <c r="H7" s="49">
        <f t="shared" si="18"/>
        <v>50621</v>
      </c>
      <c r="I7" s="49">
        <f t="shared" si="19"/>
        <v>54603</v>
      </c>
      <c r="J7" s="49">
        <v>7964</v>
      </c>
      <c r="K7" s="49">
        <v>46639</v>
      </c>
      <c r="L7" s="49">
        <f t="shared" si="20"/>
        <v>49036</v>
      </c>
      <c r="M7" s="49">
        <v>22080</v>
      </c>
      <c r="N7" s="49">
        <v>26956</v>
      </c>
      <c r="O7" s="49">
        <f>SUM(J7:N7)</f>
        <v>152675</v>
      </c>
      <c r="P7" s="49">
        <v>12474</v>
      </c>
      <c r="Q7" s="49">
        <v>55051</v>
      </c>
      <c r="R7" s="49">
        <v>31315</v>
      </c>
      <c r="S7" s="49">
        <v>17079</v>
      </c>
      <c r="T7" s="52">
        <f t="shared" si="22"/>
        <v>115919</v>
      </c>
      <c r="U7" s="49">
        <v>13366</v>
      </c>
      <c r="V7" s="49">
        <v>78983</v>
      </c>
      <c r="W7" s="49">
        <v>50872</v>
      </c>
      <c r="X7" s="49">
        <v>18132</v>
      </c>
      <c r="Y7" s="52">
        <f t="shared" si="21"/>
        <v>161353</v>
      </c>
      <c r="Z7" s="49">
        <v>22595</v>
      </c>
      <c r="AA7" s="49">
        <v>61742</v>
      </c>
      <c r="AB7" s="49">
        <v>30103</v>
      </c>
      <c r="AC7" s="49">
        <v>17818</v>
      </c>
      <c r="AD7" s="52">
        <f t="shared" si="0"/>
        <v>132258</v>
      </c>
      <c r="AE7" s="49">
        <v>12883</v>
      </c>
      <c r="AF7" s="49">
        <v>72236</v>
      </c>
      <c r="AG7" s="49">
        <v>21981</v>
      </c>
      <c r="AH7" s="49">
        <v>15401</v>
      </c>
      <c r="AI7" s="52">
        <f t="shared" si="1"/>
        <v>122501</v>
      </c>
      <c r="AJ7" s="49">
        <v>15710</v>
      </c>
      <c r="AK7" s="49">
        <v>96125</v>
      </c>
      <c r="AL7" s="49">
        <v>34074</v>
      </c>
      <c r="AM7" s="49">
        <v>25558</v>
      </c>
      <c r="AN7" s="52">
        <f t="shared" si="2"/>
        <v>171467</v>
      </c>
      <c r="AO7" s="49">
        <v>20414</v>
      </c>
      <c r="AP7" s="49">
        <v>81488</v>
      </c>
      <c r="AQ7" s="49">
        <v>29837</v>
      </c>
      <c r="AR7" s="49">
        <v>18371</v>
      </c>
      <c r="AS7" s="53">
        <f t="shared" si="3"/>
        <v>150110</v>
      </c>
      <c r="AT7" s="49">
        <v>22528</v>
      </c>
      <c r="AU7" s="49">
        <v>43096</v>
      </c>
      <c r="AV7" s="49">
        <v>32431</v>
      </c>
      <c r="AW7" s="49">
        <v>16636</v>
      </c>
      <c r="AX7" s="47">
        <f t="shared" si="4"/>
        <v>114691</v>
      </c>
      <c r="AY7" s="49">
        <v>20879</v>
      </c>
      <c r="AZ7" s="49">
        <v>54685</v>
      </c>
      <c r="BA7" s="49">
        <v>28796</v>
      </c>
      <c r="BB7" s="49">
        <v>22337</v>
      </c>
      <c r="BC7" s="47">
        <f t="shared" si="5"/>
        <v>126697</v>
      </c>
      <c r="BD7" s="54">
        <v>35895</v>
      </c>
      <c r="BE7" s="54">
        <v>68364</v>
      </c>
      <c r="BF7" s="54">
        <v>38433</v>
      </c>
      <c r="BG7" s="54">
        <v>21809</v>
      </c>
      <c r="BH7" s="47">
        <f t="shared" si="10"/>
        <v>164501</v>
      </c>
      <c r="BI7" s="55">
        <v>28390</v>
      </c>
      <c r="BJ7" s="49">
        <v>69102</v>
      </c>
      <c r="BK7" s="49">
        <v>37947</v>
      </c>
      <c r="BL7" s="55">
        <v>22625</v>
      </c>
      <c r="BM7" s="47">
        <f t="shared" si="11"/>
        <v>158064</v>
      </c>
      <c r="BN7" s="47">
        <f t="shared" si="12"/>
        <v>92876</v>
      </c>
      <c r="BO7" s="55">
        <v>26363</v>
      </c>
      <c r="BP7" s="49">
        <v>66513</v>
      </c>
      <c r="BQ7" s="49">
        <v>34178</v>
      </c>
      <c r="BR7" s="55">
        <v>24135</v>
      </c>
      <c r="BS7" s="47">
        <f t="shared" si="13"/>
        <v>151189</v>
      </c>
      <c r="BT7" s="55">
        <v>38655.496149999999</v>
      </c>
      <c r="BU7" s="49">
        <v>38193.258900000001</v>
      </c>
      <c r="BV7" s="49">
        <v>38551.860500000003</v>
      </c>
      <c r="BW7" s="47">
        <f t="shared" si="14"/>
        <v>290724.61554999999</v>
      </c>
      <c r="BX7" s="55">
        <v>15148</v>
      </c>
      <c r="BY7" s="55">
        <v>16594</v>
      </c>
      <c r="BZ7" s="49">
        <v>35330</v>
      </c>
      <c r="CA7" s="49">
        <v>21790</v>
      </c>
      <c r="CB7" s="47">
        <f t="shared" si="15"/>
        <v>88862</v>
      </c>
      <c r="CC7" s="55">
        <v>23871</v>
      </c>
      <c r="CD7" s="55">
        <v>20299</v>
      </c>
      <c r="CE7" s="49">
        <v>34509</v>
      </c>
      <c r="CF7" s="49">
        <v>18819</v>
      </c>
      <c r="CG7" s="47">
        <f t="shared" si="6"/>
        <v>97498</v>
      </c>
      <c r="CH7" s="56">
        <v>10209</v>
      </c>
      <c r="CI7" s="57">
        <v>23651</v>
      </c>
      <c r="CJ7" s="58">
        <v>21339</v>
      </c>
      <c r="CK7" s="58">
        <v>16067</v>
      </c>
      <c r="CL7" s="47">
        <f t="shared" si="7"/>
        <v>71266</v>
      </c>
      <c r="CM7" s="46">
        <v>13279.849550000001</v>
      </c>
      <c r="CN7" s="46">
        <v>17630.533100000001</v>
      </c>
      <c r="CO7" s="46">
        <v>22308.957699999995</v>
      </c>
      <c r="CP7" s="46">
        <v>20015.807799999999</v>
      </c>
      <c r="CQ7" s="47">
        <f t="shared" si="17"/>
        <v>73235.148149999994</v>
      </c>
      <c r="CR7" s="46">
        <v>3706.9837999999995</v>
      </c>
      <c r="CS7" s="46">
        <v>13479.110100000005</v>
      </c>
      <c r="CT7" s="46">
        <v>25478.5517</v>
      </c>
      <c r="CU7" s="46">
        <v>14231.12328</v>
      </c>
      <c r="CV7" s="47">
        <f t="shared" si="8"/>
        <v>56895.768880000003</v>
      </c>
      <c r="CW7" s="46">
        <v>8863.1071500000016</v>
      </c>
      <c r="CX7" s="46">
        <v>7641.3720500000009</v>
      </c>
      <c r="CY7" s="46">
        <v>30316.949050000007</v>
      </c>
      <c r="CZ7" s="46">
        <v>15093.2361</v>
      </c>
      <c r="DA7" s="47">
        <f t="shared" si="16"/>
        <v>61914.664350000014</v>
      </c>
      <c r="DB7" s="78">
        <v>9332</v>
      </c>
      <c r="DC7" s="94">
        <v>10205</v>
      </c>
      <c r="DD7" s="94">
        <v>36068</v>
      </c>
      <c r="DE7" s="94">
        <v>9599</v>
      </c>
      <c r="DF7" s="175">
        <f>SUM(Table1[[#This Row],[JUL-SEP-20]:[APR-JUN 21]])</f>
        <v>65204</v>
      </c>
      <c r="DG7" s="83">
        <v>7807</v>
      </c>
      <c r="DH7" s="94">
        <v>12343</v>
      </c>
      <c r="DI7" s="94">
        <v>37458</v>
      </c>
      <c r="DJ7" s="94">
        <v>35237</v>
      </c>
      <c r="DK7" s="175">
        <f t="shared" si="23"/>
        <v>92845</v>
      </c>
      <c r="DL7" s="83">
        <v>24698</v>
      </c>
      <c r="DM7" s="94">
        <v>11495</v>
      </c>
      <c r="DN7" s="94">
        <v>32204</v>
      </c>
      <c r="DO7" s="94">
        <v>7496</v>
      </c>
      <c r="DP7" s="175">
        <f t="shared" si="24"/>
        <v>75893</v>
      </c>
      <c r="DQ7" s="83">
        <v>5685</v>
      </c>
      <c r="DR7" s="94">
        <v>9981</v>
      </c>
      <c r="DS7" s="94">
        <v>30154</v>
      </c>
      <c r="DT7" s="94">
        <v>7448</v>
      </c>
      <c r="DU7" s="175">
        <f t="shared" si="25"/>
        <v>53268</v>
      </c>
      <c r="DV7" s="83">
        <v>4692</v>
      </c>
      <c r="DW7" s="94">
        <v>6703</v>
      </c>
      <c r="DX7" s="94">
        <v>24147</v>
      </c>
      <c r="DY7" s="94">
        <v>0</v>
      </c>
      <c r="DZ7" s="175">
        <f t="shared" si="26"/>
        <v>35542</v>
      </c>
    </row>
    <row r="8" spans="1:130" x14ac:dyDescent="0.25">
      <c r="A8" s="59" t="s">
        <v>127</v>
      </c>
      <c r="B8" s="60" t="s">
        <v>128</v>
      </c>
      <c r="C8" s="61">
        <v>540</v>
      </c>
      <c r="D8" s="61">
        <f t="shared" si="9"/>
        <v>0.27</v>
      </c>
      <c r="E8" s="59">
        <v>2050792</v>
      </c>
      <c r="F8" s="59">
        <v>950745</v>
      </c>
      <c r="G8" s="59">
        <v>888524</v>
      </c>
      <c r="H8" s="59">
        <f t="shared" si="18"/>
        <v>1839269</v>
      </c>
      <c r="I8" s="59">
        <f t="shared" si="19"/>
        <v>337624</v>
      </c>
      <c r="J8" s="59">
        <v>72223</v>
      </c>
      <c r="K8" s="59">
        <v>265401</v>
      </c>
      <c r="L8" s="59">
        <f t="shared" si="20"/>
        <v>686628</v>
      </c>
      <c r="M8" s="59">
        <v>503127</v>
      </c>
      <c r="N8" s="59">
        <v>183501</v>
      </c>
      <c r="O8" s="59">
        <v>1024252</v>
      </c>
      <c r="P8" s="59">
        <v>91692</v>
      </c>
      <c r="Q8" s="59">
        <v>376595</v>
      </c>
      <c r="R8" s="59">
        <v>351728</v>
      </c>
      <c r="S8" s="59">
        <v>203760</v>
      </c>
      <c r="T8" s="59">
        <f t="shared" si="22"/>
        <v>1023775</v>
      </c>
      <c r="U8" s="59">
        <v>100454</v>
      </c>
      <c r="V8" s="59">
        <v>299940</v>
      </c>
      <c r="W8" s="59">
        <v>328382</v>
      </c>
      <c r="X8" s="59">
        <v>177093</v>
      </c>
      <c r="Y8" s="59">
        <f t="shared" si="21"/>
        <v>905869</v>
      </c>
      <c r="Z8" s="59">
        <v>99109</v>
      </c>
      <c r="AA8" s="59">
        <v>322827</v>
      </c>
      <c r="AB8" s="59">
        <v>380576</v>
      </c>
      <c r="AC8" s="59">
        <v>182512</v>
      </c>
      <c r="AD8" s="59">
        <f t="shared" si="0"/>
        <v>985024</v>
      </c>
      <c r="AE8" s="59">
        <v>108949.6</v>
      </c>
      <c r="AF8" s="59">
        <v>346155.4</v>
      </c>
      <c r="AG8" s="59">
        <v>338688</v>
      </c>
      <c r="AH8" s="59">
        <v>233478</v>
      </c>
      <c r="AI8" s="59">
        <f t="shared" si="1"/>
        <v>1027271</v>
      </c>
      <c r="AJ8" s="59">
        <v>92472</v>
      </c>
      <c r="AK8" s="59">
        <v>246701</v>
      </c>
      <c r="AL8" s="59">
        <v>381495</v>
      </c>
      <c r="AM8" s="59">
        <v>210158</v>
      </c>
      <c r="AN8" s="59">
        <f t="shared" si="2"/>
        <v>930826</v>
      </c>
      <c r="AO8" s="59">
        <v>114583</v>
      </c>
      <c r="AP8" s="59">
        <v>261397</v>
      </c>
      <c r="AQ8" s="59">
        <v>440908</v>
      </c>
      <c r="AR8" s="59">
        <v>188977</v>
      </c>
      <c r="AS8" s="62">
        <f t="shared" si="3"/>
        <v>1005865</v>
      </c>
      <c r="AT8" s="59">
        <v>126650</v>
      </c>
      <c r="AU8" s="59">
        <v>286067</v>
      </c>
      <c r="AV8" s="59">
        <v>279309</v>
      </c>
      <c r="AW8" s="59">
        <v>119372</v>
      </c>
      <c r="AX8" s="62">
        <f t="shared" si="4"/>
        <v>811398</v>
      </c>
      <c r="AY8" s="59">
        <v>136191</v>
      </c>
      <c r="AZ8" s="59">
        <v>212040</v>
      </c>
      <c r="BA8" s="59">
        <v>251253</v>
      </c>
      <c r="BB8" s="59">
        <v>208302.6</v>
      </c>
      <c r="BC8" s="62">
        <f t="shared" si="5"/>
        <v>807786.6</v>
      </c>
      <c r="BD8" s="59">
        <v>181543</v>
      </c>
      <c r="BE8" s="59">
        <v>471497</v>
      </c>
      <c r="BF8" s="59">
        <v>492637</v>
      </c>
      <c r="BG8" s="59">
        <v>161680</v>
      </c>
      <c r="BH8" s="62">
        <f t="shared" si="10"/>
        <v>1307357</v>
      </c>
      <c r="BI8" s="63">
        <v>181445.2</v>
      </c>
      <c r="BJ8" s="64">
        <v>415433</v>
      </c>
      <c r="BK8" s="59">
        <v>427114</v>
      </c>
      <c r="BL8" s="65">
        <v>270887</v>
      </c>
      <c r="BM8" s="62">
        <f t="shared" si="11"/>
        <v>1294879.2</v>
      </c>
      <c r="BN8" s="62">
        <f t="shared" si="12"/>
        <v>510886.8</v>
      </c>
      <c r="BO8" s="63">
        <v>177023.8</v>
      </c>
      <c r="BP8" s="64">
        <v>333863</v>
      </c>
      <c r="BQ8" s="59">
        <v>513867.2</v>
      </c>
      <c r="BR8" s="65">
        <v>152586.6</v>
      </c>
      <c r="BS8" s="48">
        <f t="shared" si="13"/>
        <v>1177340.6000000001</v>
      </c>
      <c r="BT8" s="65">
        <v>152254.75894</v>
      </c>
      <c r="BU8" s="64">
        <v>261810.14614999999</v>
      </c>
      <c r="BV8" s="59">
        <v>326221.92372999998</v>
      </c>
      <c r="BW8" s="48">
        <f t="shared" si="14"/>
        <v>2070214.0288200001</v>
      </c>
      <c r="BX8" s="65">
        <v>182057</v>
      </c>
      <c r="BY8" s="65">
        <v>99428</v>
      </c>
      <c r="BZ8" s="64">
        <v>225710</v>
      </c>
      <c r="CA8" s="59">
        <v>322443</v>
      </c>
      <c r="CB8" s="48">
        <f t="shared" si="15"/>
        <v>829638</v>
      </c>
      <c r="CC8" s="65">
        <v>216146</v>
      </c>
      <c r="CD8" s="65">
        <v>111780</v>
      </c>
      <c r="CE8" s="59">
        <v>213028</v>
      </c>
      <c r="CF8" s="59">
        <v>382529</v>
      </c>
      <c r="CG8" s="48">
        <f t="shared" si="6"/>
        <v>923483</v>
      </c>
      <c r="CH8" s="66">
        <v>173491</v>
      </c>
      <c r="CI8" s="67">
        <v>80682</v>
      </c>
      <c r="CJ8" s="67">
        <v>204933</v>
      </c>
      <c r="CK8" s="67">
        <v>236353</v>
      </c>
      <c r="CL8" s="48">
        <f t="shared" si="7"/>
        <v>695459</v>
      </c>
      <c r="CM8" s="46">
        <v>109016.74587</v>
      </c>
      <c r="CN8" s="46">
        <v>73809.819349999991</v>
      </c>
      <c r="CO8" s="46">
        <v>254605.01078000016</v>
      </c>
      <c r="CP8" s="46">
        <v>213234.90644000005</v>
      </c>
      <c r="CQ8" s="48">
        <f t="shared" si="17"/>
        <v>650666.48244000017</v>
      </c>
      <c r="CR8" s="46">
        <v>108281.34263999993</v>
      </c>
      <c r="CS8" s="46">
        <v>69897.026740000001</v>
      </c>
      <c r="CT8" s="46">
        <v>212680.54300999996</v>
      </c>
      <c r="CU8" s="46">
        <v>222865.56081000011</v>
      </c>
      <c r="CV8" s="48">
        <f t="shared" si="8"/>
        <v>613724.47320000001</v>
      </c>
      <c r="CW8" s="46">
        <v>110230.73386000004</v>
      </c>
      <c r="CX8" s="46">
        <v>72859.979089999993</v>
      </c>
      <c r="CY8" s="46">
        <v>302090.28221000009</v>
      </c>
      <c r="CZ8" s="46">
        <v>162282.95952000006</v>
      </c>
      <c r="DA8" s="48">
        <f t="shared" si="16"/>
        <v>647463.9546800002</v>
      </c>
      <c r="DB8" s="78">
        <v>108241</v>
      </c>
      <c r="DC8" s="94">
        <v>114200</v>
      </c>
      <c r="DD8" s="94">
        <v>205752</v>
      </c>
      <c r="DE8" s="94">
        <v>179446</v>
      </c>
      <c r="DF8" s="102">
        <f>SUM(Table1[[#This Row],[JUL-SEP-20]:[APR-JUN 21]])</f>
        <v>607639</v>
      </c>
      <c r="DG8" s="83">
        <v>89374</v>
      </c>
      <c r="DH8" s="94">
        <v>82266</v>
      </c>
      <c r="DI8" s="94">
        <v>213901</v>
      </c>
      <c r="DJ8" s="94">
        <v>137797</v>
      </c>
      <c r="DK8" s="197">
        <f t="shared" si="23"/>
        <v>523338</v>
      </c>
      <c r="DL8" s="83">
        <v>59799</v>
      </c>
      <c r="DM8" s="94">
        <v>62898</v>
      </c>
      <c r="DN8" s="94">
        <v>119318</v>
      </c>
      <c r="DO8" s="94">
        <v>132566</v>
      </c>
      <c r="DP8" s="197">
        <f t="shared" si="24"/>
        <v>374581</v>
      </c>
      <c r="DQ8" s="83">
        <v>52637</v>
      </c>
      <c r="DR8" s="94">
        <v>67696</v>
      </c>
      <c r="DS8" s="94">
        <v>134659</v>
      </c>
      <c r="DT8" s="94">
        <v>124208</v>
      </c>
      <c r="DU8" s="197">
        <f t="shared" si="25"/>
        <v>379200</v>
      </c>
      <c r="DV8" s="83">
        <v>48950</v>
      </c>
      <c r="DW8" s="94">
        <v>59080</v>
      </c>
      <c r="DX8" s="94">
        <v>150436</v>
      </c>
      <c r="DY8" s="94">
        <v>0</v>
      </c>
      <c r="DZ8" s="197">
        <f t="shared" si="26"/>
        <v>258466</v>
      </c>
    </row>
    <row r="9" spans="1:130" x14ac:dyDescent="0.25">
      <c r="A9" s="49" t="s">
        <v>129</v>
      </c>
      <c r="B9" s="50" t="s">
        <v>130</v>
      </c>
      <c r="C9" s="51">
        <v>1028</v>
      </c>
      <c r="D9" s="51">
        <f t="shared" si="9"/>
        <v>0.51400000000000001</v>
      </c>
      <c r="E9" s="49">
        <v>64393</v>
      </c>
      <c r="F9" s="49">
        <v>34076</v>
      </c>
      <c r="G9" s="49">
        <v>30969</v>
      </c>
      <c r="H9" s="49">
        <f t="shared" si="18"/>
        <v>65045</v>
      </c>
      <c r="I9" s="49">
        <f t="shared" si="19"/>
        <v>21857</v>
      </c>
      <c r="J9" s="49">
        <v>5334</v>
      </c>
      <c r="K9" s="49">
        <v>16523</v>
      </c>
      <c r="L9" s="49">
        <f t="shared" si="20"/>
        <v>30672</v>
      </c>
      <c r="M9" s="49">
        <v>19370</v>
      </c>
      <c r="N9" s="49">
        <v>11302</v>
      </c>
      <c r="O9" s="49">
        <f t="shared" ref="O9:O15" si="27">SUM(J9:N9)</f>
        <v>83201</v>
      </c>
      <c r="P9" s="49">
        <v>9740</v>
      </c>
      <c r="Q9" s="49">
        <v>14912</v>
      </c>
      <c r="R9" s="49">
        <v>19266</v>
      </c>
      <c r="S9" s="49">
        <v>13425</v>
      </c>
      <c r="T9" s="52">
        <f t="shared" si="22"/>
        <v>57343</v>
      </c>
      <c r="U9" s="49">
        <v>10849</v>
      </c>
      <c r="V9" s="49">
        <v>22041</v>
      </c>
      <c r="W9" s="49">
        <v>14753</v>
      </c>
      <c r="X9" s="49">
        <v>8987</v>
      </c>
      <c r="Y9" s="52">
        <f t="shared" si="21"/>
        <v>56630</v>
      </c>
      <c r="Z9" s="49">
        <v>10679</v>
      </c>
      <c r="AA9" s="49">
        <v>22150</v>
      </c>
      <c r="AB9" s="49">
        <v>18202</v>
      </c>
      <c r="AC9" s="68">
        <v>9913</v>
      </c>
      <c r="AD9" s="52">
        <f t="shared" si="0"/>
        <v>60944</v>
      </c>
      <c r="AE9" s="49">
        <v>16005.2</v>
      </c>
      <c r="AF9" s="49">
        <v>19960.8</v>
      </c>
      <c r="AG9" s="49">
        <v>12866</v>
      </c>
      <c r="AH9" s="49">
        <v>18231</v>
      </c>
      <c r="AI9" s="52">
        <f t="shared" si="1"/>
        <v>67063</v>
      </c>
      <c r="AJ9" s="49">
        <v>10506</v>
      </c>
      <c r="AK9" s="49">
        <v>29720</v>
      </c>
      <c r="AL9" s="49">
        <v>20172</v>
      </c>
      <c r="AM9" s="49">
        <v>19293</v>
      </c>
      <c r="AN9" s="52">
        <f t="shared" si="2"/>
        <v>79691</v>
      </c>
      <c r="AO9" s="49">
        <v>16324</v>
      </c>
      <c r="AP9" s="49">
        <v>25006</v>
      </c>
      <c r="AQ9" s="49">
        <v>17513</v>
      </c>
      <c r="AR9" s="49">
        <v>16604</v>
      </c>
      <c r="AS9" s="53">
        <f t="shared" si="3"/>
        <v>75447</v>
      </c>
      <c r="AT9" s="49">
        <v>12237</v>
      </c>
      <c r="AU9" s="49">
        <v>23021</v>
      </c>
      <c r="AV9" s="49">
        <v>16697</v>
      </c>
      <c r="AW9" s="49">
        <v>12213</v>
      </c>
      <c r="AX9" s="47">
        <f t="shared" si="4"/>
        <v>64168</v>
      </c>
      <c r="AY9" s="49">
        <v>12242</v>
      </c>
      <c r="AZ9" s="49">
        <v>17635</v>
      </c>
      <c r="BA9" s="49">
        <v>11515</v>
      </c>
      <c r="BB9" s="49">
        <v>11127</v>
      </c>
      <c r="BC9" s="47">
        <f t="shared" si="5"/>
        <v>52519</v>
      </c>
      <c r="BD9" s="54">
        <v>11744.5</v>
      </c>
      <c r="BE9" s="54">
        <v>46382</v>
      </c>
      <c r="BF9" s="54">
        <v>16817</v>
      </c>
      <c r="BG9" s="54">
        <v>14093</v>
      </c>
      <c r="BH9" s="47">
        <f t="shared" si="10"/>
        <v>89036.5</v>
      </c>
      <c r="BI9" s="49">
        <v>19593</v>
      </c>
      <c r="BJ9" s="49">
        <v>55712</v>
      </c>
      <c r="BK9" s="49">
        <v>21144</v>
      </c>
      <c r="BL9" s="55">
        <v>16418.599999999999</v>
      </c>
      <c r="BM9" s="47">
        <f t="shared" si="11"/>
        <v>112867.6</v>
      </c>
      <c r="BN9" s="47">
        <f t="shared" si="12"/>
        <v>62013.3</v>
      </c>
      <c r="BO9" s="49">
        <v>26789.200000000001</v>
      </c>
      <c r="BP9" s="55">
        <v>35224.1</v>
      </c>
      <c r="BQ9" s="49">
        <v>25883.200000000001</v>
      </c>
      <c r="BR9" s="55">
        <v>14848.9</v>
      </c>
      <c r="BS9" s="47">
        <f t="shared" si="13"/>
        <v>102745.4</v>
      </c>
      <c r="BT9" s="49">
        <v>16843.989600000001</v>
      </c>
      <c r="BU9" s="55">
        <v>27701.993050000001</v>
      </c>
      <c r="BV9" s="49">
        <v>18058.9398</v>
      </c>
      <c r="BW9" s="47">
        <f t="shared" si="14"/>
        <v>180199.22244999997</v>
      </c>
      <c r="BX9" s="55">
        <v>22795</v>
      </c>
      <c r="BY9" s="49">
        <v>9577</v>
      </c>
      <c r="BZ9" s="55">
        <v>23745</v>
      </c>
      <c r="CA9" s="49">
        <v>16135</v>
      </c>
      <c r="CB9" s="47">
        <f t="shared" si="15"/>
        <v>72252</v>
      </c>
      <c r="CC9" s="55">
        <v>6783</v>
      </c>
      <c r="CD9" s="55">
        <v>6728</v>
      </c>
      <c r="CE9" s="49">
        <v>22183</v>
      </c>
      <c r="CF9" s="49">
        <v>27542</v>
      </c>
      <c r="CG9" s="47">
        <f t="shared" si="6"/>
        <v>63236</v>
      </c>
      <c r="CH9" s="56">
        <v>12284</v>
      </c>
      <c r="CI9" s="57">
        <v>8808</v>
      </c>
      <c r="CJ9" s="58">
        <v>17994</v>
      </c>
      <c r="CK9" s="58">
        <v>27153</v>
      </c>
      <c r="CL9" s="47">
        <f t="shared" si="7"/>
        <v>66239</v>
      </c>
      <c r="CM9" s="45">
        <v>10503.902400000001</v>
      </c>
      <c r="CN9" s="45">
        <v>9053.0201000000015</v>
      </c>
      <c r="CO9" s="45">
        <v>28375.018300000014</v>
      </c>
      <c r="CP9" s="45">
        <v>25716.832030000005</v>
      </c>
      <c r="CQ9" s="47">
        <f>SUM(CM9:CP9)</f>
        <v>73648.772830000016</v>
      </c>
      <c r="CR9" s="46">
        <v>8559.5413000000008</v>
      </c>
      <c r="CS9" s="46">
        <v>15137.324000000001</v>
      </c>
      <c r="CT9" s="46">
        <v>25200.74923000003</v>
      </c>
      <c r="CU9" s="46">
        <v>15367.052829999991</v>
      </c>
      <c r="CV9" s="47">
        <f t="shared" si="8"/>
        <v>64264.667360000029</v>
      </c>
      <c r="CW9" s="46">
        <v>7998.1220999999987</v>
      </c>
      <c r="CX9" s="46">
        <v>8746.6879499999995</v>
      </c>
      <c r="CY9" s="46">
        <v>30613.022380000024</v>
      </c>
      <c r="CZ9" s="46">
        <v>59748.571339999988</v>
      </c>
      <c r="DA9" s="47">
        <f t="shared" si="16"/>
        <v>107106.40377</v>
      </c>
      <c r="DB9" s="78">
        <v>11295</v>
      </c>
      <c r="DC9" s="94">
        <v>6353</v>
      </c>
      <c r="DD9" s="94">
        <v>55585</v>
      </c>
      <c r="DE9" s="94">
        <v>26779</v>
      </c>
      <c r="DF9" s="175">
        <f>SUM(Table1[[#This Row],[JUL-SEP-20]:[APR-JUN 21]])</f>
        <v>100012</v>
      </c>
      <c r="DG9" s="83">
        <v>17081</v>
      </c>
      <c r="DH9" s="94">
        <v>54035</v>
      </c>
      <c r="DI9" s="94">
        <v>28625</v>
      </c>
      <c r="DJ9" s="94">
        <v>25158</v>
      </c>
      <c r="DK9" s="175">
        <f t="shared" si="23"/>
        <v>124899</v>
      </c>
      <c r="DL9" s="83">
        <v>4113</v>
      </c>
      <c r="DM9" s="94">
        <v>17971</v>
      </c>
      <c r="DN9" s="94">
        <v>16493</v>
      </c>
      <c r="DO9" s="94">
        <v>24621</v>
      </c>
      <c r="DP9" s="175">
        <f t="shared" si="24"/>
        <v>63198</v>
      </c>
      <c r="DQ9" s="83">
        <v>10365</v>
      </c>
      <c r="DR9" s="94">
        <v>13492</v>
      </c>
      <c r="DS9" s="94">
        <v>54349</v>
      </c>
      <c r="DT9" s="94">
        <v>22580</v>
      </c>
      <c r="DU9" s="175">
        <f t="shared" si="25"/>
        <v>100786</v>
      </c>
      <c r="DV9" s="83">
        <v>9972</v>
      </c>
      <c r="DW9" s="94">
        <v>13202</v>
      </c>
      <c r="DX9" s="94">
        <v>108233</v>
      </c>
      <c r="DY9" s="94">
        <v>0</v>
      </c>
      <c r="DZ9" s="175">
        <f t="shared" si="26"/>
        <v>131407</v>
      </c>
    </row>
    <row r="10" spans="1:130" x14ac:dyDescent="0.25">
      <c r="A10" s="59" t="s">
        <v>131</v>
      </c>
      <c r="B10" s="59" t="s">
        <v>132</v>
      </c>
      <c r="C10" s="59">
        <v>2200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>
        <v>22000</v>
      </c>
      <c r="BS10" s="59"/>
      <c r="BT10" s="59">
        <v>17973</v>
      </c>
      <c r="BU10" s="59">
        <v>42313</v>
      </c>
      <c r="BV10" s="59">
        <v>58516</v>
      </c>
      <c r="BW10" s="59">
        <f t="shared" si="14"/>
        <v>140802</v>
      </c>
      <c r="BX10" s="59">
        <v>32735</v>
      </c>
      <c r="BY10" s="59">
        <v>18190</v>
      </c>
      <c r="BZ10" s="59">
        <v>54098</v>
      </c>
      <c r="CA10" s="59">
        <v>47787</v>
      </c>
      <c r="CB10" s="59">
        <f t="shared" si="15"/>
        <v>152810</v>
      </c>
      <c r="CC10" s="59">
        <v>75766</v>
      </c>
      <c r="CD10" s="59">
        <v>26967</v>
      </c>
      <c r="CE10" s="59">
        <v>96970</v>
      </c>
      <c r="CF10" s="59">
        <v>70551</v>
      </c>
      <c r="CG10" s="59">
        <f t="shared" si="6"/>
        <v>270254</v>
      </c>
      <c r="CH10" s="59">
        <v>29982</v>
      </c>
      <c r="CI10" s="59">
        <v>70321</v>
      </c>
      <c r="CJ10" s="59">
        <v>303604</v>
      </c>
      <c r="CK10" s="69">
        <v>489466</v>
      </c>
      <c r="CL10" s="59">
        <f t="shared" si="7"/>
        <v>893373</v>
      </c>
      <c r="CM10" s="46">
        <v>196109.39273999989</v>
      </c>
      <c r="CN10" s="46">
        <v>211871.61626000004</v>
      </c>
      <c r="CO10" s="46">
        <v>478001.90615000005</v>
      </c>
      <c r="CP10" s="46">
        <v>403380.99084000004</v>
      </c>
      <c r="CQ10" s="59">
        <f t="shared" si="17"/>
        <v>1289363.9059900001</v>
      </c>
      <c r="CR10" s="46">
        <v>308296.85576000001</v>
      </c>
      <c r="CS10" s="46">
        <v>253532.11712000001</v>
      </c>
      <c r="CT10" s="46">
        <v>397257.47759999998</v>
      </c>
      <c r="CU10" s="46">
        <v>336201.3247</v>
      </c>
      <c r="CV10" s="59">
        <f t="shared" si="8"/>
        <v>1295287.7751799999</v>
      </c>
      <c r="CW10" s="46">
        <v>198355.98011999999</v>
      </c>
      <c r="CX10" s="46">
        <v>181433.43345999997</v>
      </c>
      <c r="CY10" s="46">
        <v>281411.83720000007</v>
      </c>
      <c r="CZ10" s="46">
        <v>262560.99790000007</v>
      </c>
      <c r="DA10" s="59">
        <f t="shared" si="16"/>
        <v>923762.24868000008</v>
      </c>
      <c r="DB10" s="78">
        <v>171980</v>
      </c>
      <c r="DC10" s="94">
        <v>100558</v>
      </c>
      <c r="DD10" s="94">
        <v>181896</v>
      </c>
      <c r="DE10" s="94">
        <v>296592</v>
      </c>
      <c r="DF10" s="102">
        <f>SUM(Table1[[#This Row],[JUL-SEP-20]:[APR-JUN 21]])</f>
        <v>751026</v>
      </c>
      <c r="DG10" s="83">
        <v>153247</v>
      </c>
      <c r="DH10" s="94">
        <v>56733</v>
      </c>
      <c r="DI10" s="94">
        <v>164344</v>
      </c>
      <c r="DJ10" s="94">
        <v>106099</v>
      </c>
      <c r="DK10" s="197">
        <f t="shared" si="23"/>
        <v>480423</v>
      </c>
      <c r="DL10" s="83">
        <v>97512</v>
      </c>
      <c r="DM10" s="94">
        <v>29268</v>
      </c>
      <c r="DN10" s="94">
        <v>92545</v>
      </c>
      <c r="DO10" s="94">
        <v>84617</v>
      </c>
      <c r="DP10" s="197">
        <f t="shared" si="24"/>
        <v>303942</v>
      </c>
      <c r="DQ10" s="83">
        <v>69032</v>
      </c>
      <c r="DR10" s="94">
        <v>53552</v>
      </c>
      <c r="DS10" s="94">
        <v>111552</v>
      </c>
      <c r="DT10" s="94">
        <v>146551</v>
      </c>
      <c r="DU10" s="197">
        <f t="shared" si="25"/>
        <v>380687</v>
      </c>
      <c r="DV10" s="83">
        <v>65764</v>
      </c>
      <c r="DW10" s="94">
        <v>50933</v>
      </c>
      <c r="DX10" s="94">
        <v>96090</v>
      </c>
      <c r="DY10" s="94">
        <v>0</v>
      </c>
      <c r="DZ10" s="197">
        <f t="shared" si="26"/>
        <v>212787</v>
      </c>
    </row>
    <row r="11" spans="1:130" x14ac:dyDescent="0.25">
      <c r="A11" s="49" t="s">
        <v>133</v>
      </c>
      <c r="B11" s="49" t="s">
        <v>134</v>
      </c>
      <c r="C11" s="49">
        <v>332</v>
      </c>
      <c r="D11" s="49">
        <f t="shared" si="9"/>
        <v>0.16600000000000001</v>
      </c>
      <c r="E11" s="49">
        <v>342555</v>
      </c>
      <c r="F11" s="49">
        <v>214631</v>
      </c>
      <c r="G11" s="49">
        <v>146849</v>
      </c>
      <c r="H11" s="49">
        <f t="shared" si="18"/>
        <v>361480</v>
      </c>
      <c r="I11" s="49">
        <f t="shared" si="19"/>
        <v>77786</v>
      </c>
      <c r="J11" s="49">
        <v>24830</v>
      </c>
      <c r="K11" s="49">
        <v>52956</v>
      </c>
      <c r="L11" s="49">
        <f t="shared" si="20"/>
        <v>126658</v>
      </c>
      <c r="M11" s="49">
        <v>79266</v>
      </c>
      <c r="N11" s="49">
        <v>47392</v>
      </c>
      <c r="O11" s="49">
        <f t="shared" si="27"/>
        <v>331102</v>
      </c>
      <c r="P11" s="49">
        <v>35987</v>
      </c>
      <c r="Q11" s="49">
        <v>63518</v>
      </c>
      <c r="R11" s="49">
        <v>73054</v>
      </c>
      <c r="S11" s="49">
        <v>46187</v>
      </c>
      <c r="T11" s="49">
        <f t="shared" si="22"/>
        <v>218746</v>
      </c>
      <c r="U11" s="49">
        <v>40218</v>
      </c>
      <c r="V11" s="49">
        <v>52361</v>
      </c>
      <c r="W11" s="49">
        <v>57508</v>
      </c>
      <c r="X11" s="49">
        <v>27637</v>
      </c>
      <c r="Y11" s="49">
        <f t="shared" si="21"/>
        <v>177724</v>
      </c>
      <c r="Z11" s="49">
        <v>31947</v>
      </c>
      <c r="AA11" s="49">
        <v>51774</v>
      </c>
      <c r="AB11" s="49">
        <v>57131</v>
      </c>
      <c r="AC11" s="49">
        <v>30586</v>
      </c>
      <c r="AD11" s="49">
        <f t="shared" si="0"/>
        <v>171438</v>
      </c>
      <c r="AE11" s="49">
        <v>33735</v>
      </c>
      <c r="AF11" s="49">
        <v>71208</v>
      </c>
      <c r="AG11" s="49">
        <v>68205</v>
      </c>
      <c r="AH11" s="49">
        <v>38741</v>
      </c>
      <c r="AI11" s="49">
        <f t="shared" si="1"/>
        <v>211889</v>
      </c>
      <c r="AJ11" s="49">
        <v>33880</v>
      </c>
      <c r="AK11" s="49">
        <v>77742</v>
      </c>
      <c r="AL11" s="49">
        <v>72120</v>
      </c>
      <c r="AM11" s="49">
        <v>63875</v>
      </c>
      <c r="AN11" s="49">
        <f t="shared" si="2"/>
        <v>247617</v>
      </c>
      <c r="AO11" s="49">
        <v>53328</v>
      </c>
      <c r="AP11" s="49">
        <v>80571</v>
      </c>
      <c r="AQ11" s="49">
        <v>71312</v>
      </c>
      <c r="AR11" s="49">
        <v>47227</v>
      </c>
      <c r="AS11" s="49">
        <f t="shared" si="3"/>
        <v>252438</v>
      </c>
      <c r="AT11" s="49">
        <v>52039</v>
      </c>
      <c r="AU11" s="49">
        <v>58258</v>
      </c>
      <c r="AV11" s="49">
        <v>48856</v>
      </c>
      <c r="AW11" s="49">
        <v>40591</v>
      </c>
      <c r="AX11" s="49">
        <f t="shared" si="4"/>
        <v>199744</v>
      </c>
      <c r="AY11" s="49">
        <v>36761</v>
      </c>
      <c r="AZ11" s="49">
        <v>51905</v>
      </c>
      <c r="BA11" s="49">
        <v>34056</v>
      </c>
      <c r="BB11" s="49">
        <v>33265</v>
      </c>
      <c r="BC11" s="49">
        <f t="shared" si="5"/>
        <v>155987</v>
      </c>
      <c r="BD11" s="49">
        <v>125533</v>
      </c>
      <c r="BE11" s="49">
        <v>59594</v>
      </c>
      <c r="BF11" s="49">
        <v>50279</v>
      </c>
      <c r="BG11" s="49">
        <v>25105</v>
      </c>
      <c r="BH11" s="49">
        <f t="shared" si="10"/>
        <v>260511</v>
      </c>
      <c r="BI11" s="49">
        <v>72675</v>
      </c>
      <c r="BJ11" s="49">
        <v>77284</v>
      </c>
      <c r="BK11" s="49">
        <v>54830</v>
      </c>
      <c r="BL11" s="49">
        <v>24742</v>
      </c>
      <c r="BM11" s="49">
        <f t="shared" si="11"/>
        <v>229531</v>
      </c>
      <c r="BN11" s="49">
        <f t="shared" si="12"/>
        <v>121125</v>
      </c>
      <c r="BO11" s="49">
        <v>84966</v>
      </c>
      <c r="BP11" s="49">
        <v>36159</v>
      </c>
      <c r="BQ11" s="49">
        <v>78254</v>
      </c>
      <c r="BR11" s="49">
        <v>27766</v>
      </c>
      <c r="BS11" s="47">
        <f t="shared" ref="BS11:BS29" si="28">SUM(BO11:BR11)</f>
        <v>227145</v>
      </c>
      <c r="BT11" s="49">
        <v>28551.78515</v>
      </c>
      <c r="BU11" s="49">
        <v>36562.595300000001</v>
      </c>
      <c r="BV11" s="49">
        <v>55794.18361</v>
      </c>
      <c r="BW11" s="47">
        <f t="shared" si="14"/>
        <v>375819.56406</v>
      </c>
      <c r="BX11" s="49">
        <v>20795</v>
      </c>
      <c r="BY11" s="49">
        <v>16904</v>
      </c>
      <c r="BZ11" s="49">
        <v>28719</v>
      </c>
      <c r="CA11" s="49">
        <v>43249</v>
      </c>
      <c r="CB11" s="47">
        <f t="shared" si="15"/>
        <v>109667</v>
      </c>
      <c r="CC11" s="49">
        <v>27517</v>
      </c>
      <c r="CD11" s="49">
        <v>13707</v>
      </c>
      <c r="CE11" s="49">
        <v>24103</v>
      </c>
      <c r="CF11" s="49">
        <v>43952</v>
      </c>
      <c r="CG11" s="47">
        <f t="shared" si="6"/>
        <v>109279</v>
      </c>
      <c r="CH11" s="49">
        <v>20634</v>
      </c>
      <c r="CI11" s="49">
        <v>9651</v>
      </c>
      <c r="CJ11" s="49">
        <v>17545</v>
      </c>
      <c r="CK11" s="70">
        <v>24909</v>
      </c>
      <c r="CL11" s="47">
        <f t="shared" si="7"/>
        <v>72739</v>
      </c>
      <c r="CM11" s="46">
        <v>15463.860330000001</v>
      </c>
      <c r="CN11" s="46">
        <v>14033.54263</v>
      </c>
      <c r="CO11" s="46">
        <v>30985.083589999995</v>
      </c>
      <c r="CP11" s="46">
        <v>24335.16446</v>
      </c>
      <c r="CQ11" s="47">
        <f t="shared" si="17"/>
        <v>84817.651010000001</v>
      </c>
      <c r="CR11" s="46">
        <v>17104.008349999996</v>
      </c>
      <c r="CS11" s="46">
        <v>9472.9601700000021</v>
      </c>
      <c r="CT11" s="46">
        <v>26848.123569999996</v>
      </c>
      <c r="CU11" s="46">
        <v>28286.486219999995</v>
      </c>
      <c r="CV11" s="47">
        <f t="shared" si="8"/>
        <v>81711.578309999983</v>
      </c>
      <c r="CW11" s="46">
        <v>9153.3748200000009</v>
      </c>
      <c r="CX11" s="46">
        <v>14507.033059999996</v>
      </c>
      <c r="CY11" s="46">
        <v>27682.217869999997</v>
      </c>
      <c r="CZ11" s="46">
        <v>12824.556750000002</v>
      </c>
      <c r="DA11" s="47">
        <f t="shared" si="16"/>
        <v>64167.182499999995</v>
      </c>
      <c r="DB11" s="78">
        <v>15054</v>
      </c>
      <c r="DC11" s="94">
        <v>17477</v>
      </c>
      <c r="DD11" s="94">
        <v>24337</v>
      </c>
      <c r="DE11" s="94">
        <v>19405</v>
      </c>
      <c r="DF11" s="175">
        <f>SUM(Table1[[#This Row],[JUL-SEP-20]:[APR-JUN 21]])</f>
        <v>76273</v>
      </c>
      <c r="DG11" s="83">
        <v>14413</v>
      </c>
      <c r="DH11" s="94">
        <v>13168</v>
      </c>
      <c r="DI11" s="94">
        <v>21538</v>
      </c>
      <c r="DJ11" s="94">
        <v>20184</v>
      </c>
      <c r="DK11" s="175">
        <f t="shared" si="23"/>
        <v>69303</v>
      </c>
      <c r="DL11" s="83">
        <v>11280</v>
      </c>
      <c r="DM11" s="94">
        <v>9834</v>
      </c>
      <c r="DN11" s="94">
        <v>15296</v>
      </c>
      <c r="DO11" s="94">
        <v>20819</v>
      </c>
      <c r="DP11" s="175">
        <f t="shared" si="24"/>
        <v>57229</v>
      </c>
      <c r="DQ11" s="83">
        <v>28971</v>
      </c>
      <c r="DR11" s="94">
        <v>29837</v>
      </c>
      <c r="DS11" s="94">
        <v>33851</v>
      </c>
      <c r="DT11" s="94">
        <v>25522</v>
      </c>
      <c r="DU11" s="175">
        <f t="shared" si="25"/>
        <v>118181</v>
      </c>
      <c r="DV11" s="83">
        <v>13889</v>
      </c>
      <c r="DW11" s="94">
        <v>25481</v>
      </c>
      <c r="DX11" s="94">
        <v>32059</v>
      </c>
      <c r="DY11" s="94">
        <v>0</v>
      </c>
      <c r="DZ11" s="175">
        <f t="shared" si="26"/>
        <v>71429</v>
      </c>
    </row>
    <row r="12" spans="1:130" x14ac:dyDescent="0.25">
      <c r="A12" s="59" t="s">
        <v>135</v>
      </c>
      <c r="B12" s="59" t="s">
        <v>136</v>
      </c>
      <c r="C12" s="59">
        <v>900</v>
      </c>
      <c r="D12" s="59">
        <f t="shared" si="9"/>
        <v>0.45</v>
      </c>
      <c r="E12" s="59">
        <v>39441</v>
      </c>
      <c r="F12" s="59">
        <v>11244</v>
      </c>
      <c r="G12" s="59">
        <v>1683</v>
      </c>
      <c r="H12" s="59">
        <f t="shared" si="18"/>
        <v>12927</v>
      </c>
      <c r="I12" s="59">
        <f t="shared" si="19"/>
        <v>134386</v>
      </c>
      <c r="J12" s="59">
        <v>9564</v>
      </c>
      <c r="K12" s="59">
        <v>124822</v>
      </c>
      <c r="L12" s="59">
        <f t="shared" si="20"/>
        <v>139360</v>
      </c>
      <c r="M12" s="59">
        <v>56519</v>
      </c>
      <c r="N12" s="59">
        <v>82841</v>
      </c>
      <c r="O12" s="59">
        <f t="shared" si="27"/>
        <v>413106</v>
      </c>
      <c r="P12" s="59">
        <v>42828</v>
      </c>
      <c r="Q12" s="59">
        <v>91077</v>
      </c>
      <c r="R12" s="59">
        <v>42369</v>
      </c>
      <c r="S12" s="59">
        <v>59432</v>
      </c>
      <c r="T12" s="59">
        <f t="shared" si="22"/>
        <v>235706</v>
      </c>
      <c r="U12" s="59">
        <v>11874</v>
      </c>
      <c r="V12" s="59">
        <v>54198</v>
      </c>
      <c r="W12" s="59">
        <v>21506</v>
      </c>
      <c r="X12" s="59">
        <v>47464</v>
      </c>
      <c r="Y12" s="59">
        <f t="shared" si="21"/>
        <v>135042</v>
      </c>
      <c r="Z12" s="59">
        <v>37304</v>
      </c>
      <c r="AA12" s="59">
        <v>70590</v>
      </c>
      <c r="AB12" s="59">
        <v>38337</v>
      </c>
      <c r="AC12" s="59">
        <v>39323</v>
      </c>
      <c r="AD12" s="59">
        <f t="shared" si="0"/>
        <v>185554</v>
      </c>
      <c r="AE12" s="59">
        <v>18754</v>
      </c>
      <c r="AF12" s="59">
        <v>60913</v>
      </c>
      <c r="AG12" s="59">
        <v>35874</v>
      </c>
      <c r="AH12" s="59">
        <v>35570</v>
      </c>
      <c r="AI12" s="59">
        <f t="shared" si="1"/>
        <v>151111</v>
      </c>
      <c r="AJ12" s="59">
        <v>21567</v>
      </c>
      <c r="AK12" s="59">
        <v>59419</v>
      </c>
      <c r="AL12" s="59">
        <v>39469</v>
      </c>
      <c r="AM12" s="59">
        <v>35125</v>
      </c>
      <c r="AN12" s="59">
        <f t="shared" si="2"/>
        <v>155580</v>
      </c>
      <c r="AO12" s="59">
        <v>24799</v>
      </c>
      <c r="AP12" s="59">
        <v>66857</v>
      </c>
      <c r="AQ12" s="59">
        <v>40221</v>
      </c>
      <c r="AR12" s="59">
        <v>35474</v>
      </c>
      <c r="AS12" s="59">
        <f t="shared" si="3"/>
        <v>167351</v>
      </c>
      <c r="AT12" s="59">
        <v>20941</v>
      </c>
      <c r="AU12" s="59">
        <v>74888</v>
      </c>
      <c r="AV12" s="59">
        <v>161819</v>
      </c>
      <c r="AW12" s="59">
        <v>83611</v>
      </c>
      <c r="AX12" s="59">
        <f t="shared" si="4"/>
        <v>341259</v>
      </c>
      <c r="AY12" s="59">
        <v>44586</v>
      </c>
      <c r="AZ12" s="59">
        <v>464346</v>
      </c>
      <c r="BA12" s="59">
        <v>139764</v>
      </c>
      <c r="BB12" s="59">
        <v>190323</v>
      </c>
      <c r="BC12" s="59">
        <f t="shared" si="5"/>
        <v>839019</v>
      </c>
      <c r="BD12" s="59">
        <v>81991</v>
      </c>
      <c r="BE12" s="59">
        <v>576415</v>
      </c>
      <c r="BF12" s="59">
        <v>212418</v>
      </c>
      <c r="BG12" s="59">
        <v>250075</v>
      </c>
      <c r="BH12" s="59">
        <f t="shared" si="10"/>
        <v>1120899</v>
      </c>
      <c r="BI12" s="59">
        <v>255207</v>
      </c>
      <c r="BJ12" s="59">
        <v>691753</v>
      </c>
      <c r="BK12" s="59">
        <v>200940</v>
      </c>
      <c r="BL12" s="59">
        <v>92295</v>
      </c>
      <c r="BM12" s="59">
        <f t="shared" si="11"/>
        <v>1240195</v>
      </c>
      <c r="BN12" s="59">
        <f t="shared" si="12"/>
        <v>507344</v>
      </c>
      <c r="BO12" s="59">
        <v>132334</v>
      </c>
      <c r="BP12" s="59">
        <v>375010</v>
      </c>
      <c r="BQ12" s="59">
        <v>149734</v>
      </c>
      <c r="BR12" s="59">
        <v>96381</v>
      </c>
      <c r="BS12" s="59">
        <f t="shared" si="28"/>
        <v>753459</v>
      </c>
      <c r="BT12" s="59">
        <v>96129.340230000002</v>
      </c>
      <c r="BU12" s="59">
        <v>65995.225999999995</v>
      </c>
      <c r="BV12" s="59">
        <v>92154.105750000002</v>
      </c>
      <c r="BW12" s="59">
        <f t="shared" si="14"/>
        <v>1104118.6719800001</v>
      </c>
      <c r="BX12" s="59">
        <v>13253</v>
      </c>
      <c r="BY12" s="59">
        <v>67804</v>
      </c>
      <c r="BZ12" s="59">
        <v>14083</v>
      </c>
      <c r="CA12" s="59">
        <v>82451</v>
      </c>
      <c r="CB12" s="59">
        <f t="shared" si="15"/>
        <v>177591</v>
      </c>
      <c r="CC12" s="59">
        <v>38964</v>
      </c>
      <c r="CD12" s="59">
        <v>96088</v>
      </c>
      <c r="CE12" s="59">
        <v>151455</v>
      </c>
      <c r="CF12" s="59">
        <v>35170</v>
      </c>
      <c r="CG12" s="59">
        <f t="shared" si="6"/>
        <v>321677</v>
      </c>
      <c r="CH12" s="59">
        <v>42790</v>
      </c>
      <c r="CI12" s="59">
        <v>91148</v>
      </c>
      <c r="CJ12" s="59">
        <v>57245</v>
      </c>
      <c r="CK12" s="69">
        <v>51131</v>
      </c>
      <c r="CL12" s="59">
        <f t="shared" si="7"/>
        <v>242314</v>
      </c>
      <c r="CM12" s="46">
        <v>42939.085250000004</v>
      </c>
      <c r="CN12" s="46">
        <v>51510.223819999999</v>
      </c>
      <c r="CO12" s="46">
        <v>48145.373390000008</v>
      </c>
      <c r="CP12" s="46">
        <v>19067.349209999997</v>
      </c>
      <c r="CQ12" s="59">
        <f t="shared" si="17"/>
        <v>161662.03167</v>
      </c>
      <c r="CR12" s="46">
        <v>372.67439999999999</v>
      </c>
      <c r="CS12" s="46">
        <v>44333.33208</v>
      </c>
      <c r="CT12" s="46">
        <v>45622.788400000005</v>
      </c>
      <c r="CU12" s="46">
        <v>6066.7573000000002</v>
      </c>
      <c r="CV12" s="59">
        <f t="shared" si="8"/>
        <v>96395.552179999999</v>
      </c>
      <c r="CW12" s="46">
        <v>4105.9191000000001</v>
      </c>
      <c r="CX12" s="46">
        <v>6105.5295799999994</v>
      </c>
      <c r="CY12" s="46">
        <v>27665.784649999998</v>
      </c>
      <c r="CZ12" s="46">
        <v>11846.56156</v>
      </c>
      <c r="DA12" s="59">
        <f t="shared" si="16"/>
        <v>49723.794889999997</v>
      </c>
      <c r="DB12" s="78">
        <v>21784</v>
      </c>
      <c r="DC12" s="94">
        <v>6738</v>
      </c>
      <c r="DD12" s="94">
        <v>71642</v>
      </c>
      <c r="DE12" s="94">
        <v>39371</v>
      </c>
      <c r="DF12" s="102">
        <f>SUM(Table1[[#This Row],[JUL-SEP-20]:[APR-JUN 21]])</f>
        <v>139535</v>
      </c>
      <c r="DG12" s="83">
        <v>24312</v>
      </c>
      <c r="DH12" s="94">
        <v>33969</v>
      </c>
      <c r="DI12" s="94">
        <v>45477</v>
      </c>
      <c r="DJ12" s="94">
        <v>48977</v>
      </c>
      <c r="DK12" s="197">
        <f t="shared" si="23"/>
        <v>152735</v>
      </c>
      <c r="DL12" s="83">
        <v>13111</v>
      </c>
      <c r="DM12" s="94">
        <v>60245</v>
      </c>
      <c r="DN12" s="94">
        <v>53569</v>
      </c>
      <c r="DO12" s="94">
        <v>572</v>
      </c>
      <c r="DP12" s="197">
        <f t="shared" si="24"/>
        <v>127497</v>
      </c>
      <c r="DQ12" s="83">
        <v>11549</v>
      </c>
      <c r="DR12" s="94">
        <v>22224</v>
      </c>
      <c r="DS12" s="94">
        <v>67432</v>
      </c>
      <c r="DT12" s="94">
        <v>6486</v>
      </c>
      <c r="DU12" s="197">
        <f t="shared" si="25"/>
        <v>107691</v>
      </c>
      <c r="DV12" s="83">
        <v>11445</v>
      </c>
      <c r="DW12" s="94">
        <v>15966</v>
      </c>
      <c r="DX12" s="94">
        <v>89790</v>
      </c>
      <c r="DY12" s="94">
        <v>0</v>
      </c>
      <c r="DZ12" s="197">
        <f t="shared" si="26"/>
        <v>117201</v>
      </c>
    </row>
    <row r="13" spans="1:130" ht="16.5" customHeight="1" x14ac:dyDescent="0.25">
      <c r="A13" s="49" t="s">
        <v>137</v>
      </c>
      <c r="B13" s="49" t="s">
        <v>138</v>
      </c>
      <c r="C13" s="49">
        <v>291</v>
      </c>
      <c r="D13" s="49">
        <f t="shared" si="9"/>
        <v>0.14549999999999999</v>
      </c>
      <c r="E13" s="49">
        <v>328814</v>
      </c>
      <c r="F13" s="49">
        <v>145594</v>
      </c>
      <c r="G13" s="49">
        <v>26528</v>
      </c>
      <c r="H13" s="49">
        <f t="shared" si="18"/>
        <v>172122</v>
      </c>
      <c r="I13" s="49">
        <f t="shared" si="19"/>
        <v>68665</v>
      </c>
      <c r="J13" s="49">
        <v>13004</v>
      </c>
      <c r="K13" s="49">
        <v>55661</v>
      </c>
      <c r="L13" s="49">
        <f t="shared" si="20"/>
        <v>125413</v>
      </c>
      <c r="M13" s="49">
        <v>50219</v>
      </c>
      <c r="N13" s="49">
        <v>75194</v>
      </c>
      <c r="O13" s="49">
        <f t="shared" si="27"/>
        <v>319491</v>
      </c>
      <c r="P13" s="49">
        <v>36021</v>
      </c>
      <c r="Q13" s="49">
        <v>164876</v>
      </c>
      <c r="R13" s="49">
        <v>88828</v>
      </c>
      <c r="S13" s="49">
        <v>110524</v>
      </c>
      <c r="T13" s="49">
        <f t="shared" si="22"/>
        <v>400249</v>
      </c>
      <c r="U13" s="49">
        <v>37254</v>
      </c>
      <c r="V13" s="49">
        <v>145983</v>
      </c>
      <c r="W13" s="49">
        <v>57544</v>
      </c>
      <c r="X13" s="49">
        <v>136328</v>
      </c>
      <c r="Y13" s="49">
        <f t="shared" si="21"/>
        <v>377109</v>
      </c>
      <c r="Z13" s="49">
        <v>102935</v>
      </c>
      <c r="AA13" s="49">
        <v>180129</v>
      </c>
      <c r="AB13" s="49">
        <v>100730</v>
      </c>
      <c r="AC13" s="49">
        <v>100309</v>
      </c>
      <c r="AD13" s="49">
        <f t="shared" si="0"/>
        <v>484103</v>
      </c>
      <c r="AE13" s="49">
        <v>51021.4</v>
      </c>
      <c r="AF13" s="49">
        <v>160100.6</v>
      </c>
      <c r="AG13" s="49">
        <v>91066</v>
      </c>
      <c r="AH13" s="49">
        <v>91747</v>
      </c>
      <c r="AI13" s="49">
        <f t="shared" si="1"/>
        <v>393935</v>
      </c>
      <c r="AJ13" s="49">
        <v>53451</v>
      </c>
      <c r="AK13" s="49">
        <v>161824</v>
      </c>
      <c r="AL13" s="49">
        <v>102045</v>
      </c>
      <c r="AM13" s="49">
        <v>91769</v>
      </c>
      <c r="AN13" s="49">
        <f t="shared" si="2"/>
        <v>409089</v>
      </c>
      <c r="AO13" s="49">
        <v>65055</v>
      </c>
      <c r="AP13" s="49">
        <v>140517</v>
      </c>
      <c r="AQ13" s="49">
        <v>96572</v>
      </c>
      <c r="AR13" s="49">
        <v>95856</v>
      </c>
      <c r="AS13" s="49">
        <f t="shared" si="3"/>
        <v>398000</v>
      </c>
      <c r="AT13" s="49">
        <v>52068</v>
      </c>
      <c r="AU13" s="49">
        <v>79270</v>
      </c>
      <c r="AV13" s="49">
        <v>120</v>
      </c>
      <c r="AW13" s="49">
        <v>178</v>
      </c>
      <c r="AX13" s="49">
        <f t="shared" si="4"/>
        <v>131636</v>
      </c>
      <c r="AY13" s="49">
        <v>4891</v>
      </c>
      <c r="AZ13" s="49">
        <v>11040</v>
      </c>
      <c r="BA13" s="49">
        <v>179</v>
      </c>
      <c r="BB13" s="49">
        <v>8649</v>
      </c>
      <c r="BC13" s="49">
        <f t="shared" si="5"/>
        <v>24759</v>
      </c>
      <c r="BD13" s="49">
        <v>0</v>
      </c>
      <c r="BE13" s="49">
        <v>41702</v>
      </c>
      <c r="BF13" s="49">
        <v>0</v>
      </c>
      <c r="BG13" s="49">
        <v>180</v>
      </c>
      <c r="BH13" s="49">
        <f t="shared" si="10"/>
        <v>41882</v>
      </c>
      <c r="BI13" s="49">
        <v>240</v>
      </c>
      <c r="BJ13" s="49">
        <v>612</v>
      </c>
      <c r="BK13" s="49">
        <v>48949</v>
      </c>
      <c r="BL13" s="49">
        <v>43580</v>
      </c>
      <c r="BM13" s="49">
        <f t="shared" si="11"/>
        <v>93381</v>
      </c>
      <c r="BN13" s="49">
        <f t="shared" si="12"/>
        <v>678785</v>
      </c>
      <c r="BO13" s="49">
        <v>194829</v>
      </c>
      <c r="BP13" s="49">
        <v>483956</v>
      </c>
      <c r="BQ13" s="49">
        <v>347965</v>
      </c>
      <c r="BR13" s="49">
        <v>205096</v>
      </c>
      <c r="BS13" s="47">
        <f t="shared" si="28"/>
        <v>1231846</v>
      </c>
      <c r="BT13" s="49">
        <v>238041.68702000001</v>
      </c>
      <c r="BU13" s="49">
        <v>142566.91519999999</v>
      </c>
      <c r="BV13" s="49">
        <v>139014.10980000001</v>
      </c>
      <c r="BW13" s="47">
        <f t="shared" si="14"/>
        <v>1956564.71202</v>
      </c>
      <c r="BX13" s="49">
        <v>5615</v>
      </c>
      <c r="BY13" s="49">
        <v>12219</v>
      </c>
      <c r="BZ13" s="49">
        <v>1985</v>
      </c>
      <c r="CA13" s="49">
        <v>6862</v>
      </c>
      <c r="CB13" s="47">
        <f t="shared" si="15"/>
        <v>26681</v>
      </c>
      <c r="CC13" s="49">
        <v>13356</v>
      </c>
      <c r="CD13" s="49">
        <v>5370</v>
      </c>
      <c r="CE13" s="49">
        <v>1832</v>
      </c>
      <c r="CF13" s="49">
        <v>1815</v>
      </c>
      <c r="CG13" s="47">
        <f t="shared" si="6"/>
        <v>22373</v>
      </c>
      <c r="CH13" s="49">
        <v>318</v>
      </c>
      <c r="CI13" s="49">
        <v>780</v>
      </c>
      <c r="CJ13" s="49">
        <v>1156</v>
      </c>
      <c r="CK13" s="70">
        <v>2265</v>
      </c>
      <c r="CL13" s="47">
        <f t="shared" si="7"/>
        <v>4519</v>
      </c>
      <c r="CM13" s="46">
        <v>393.81299999999999</v>
      </c>
      <c r="CN13" s="46">
        <v>897.70304999999996</v>
      </c>
      <c r="CO13" s="46">
        <v>454.8600000000003</v>
      </c>
      <c r="CP13" s="46">
        <v>805.69769999999994</v>
      </c>
      <c r="CQ13" s="47">
        <f t="shared" si="17"/>
        <v>2552.0737500000005</v>
      </c>
      <c r="CR13" s="46">
        <v>662.24250000000006</v>
      </c>
      <c r="CS13" s="46">
        <v>2123.5434999999998</v>
      </c>
      <c r="CT13" s="46">
        <v>1182.2913000000001</v>
      </c>
      <c r="CU13" s="46">
        <v>358.95224999999999</v>
      </c>
      <c r="CV13" s="47">
        <f t="shared" si="8"/>
        <v>4327.0295500000002</v>
      </c>
      <c r="CW13" s="46">
        <v>286.68150000000003</v>
      </c>
      <c r="CX13" s="46">
        <v>2617.1332000000002</v>
      </c>
      <c r="CY13" s="46">
        <v>641.90350000000012</v>
      </c>
      <c r="CZ13" s="46">
        <v>716.65679999999998</v>
      </c>
      <c r="DA13" s="47">
        <f t="shared" si="16"/>
        <v>4262.375</v>
      </c>
      <c r="DB13" s="78">
        <v>621</v>
      </c>
      <c r="DC13" s="94">
        <v>1006</v>
      </c>
      <c r="DD13" s="99">
        <v>190</v>
      </c>
      <c r="DE13" s="100">
        <v>373</v>
      </c>
      <c r="DF13" s="175">
        <f>SUM(Table1[[#This Row],[JUL-SEP-20]:[APR-JUN 21]])</f>
        <v>2190</v>
      </c>
      <c r="DG13" s="83"/>
      <c r="DH13" s="94"/>
      <c r="DI13" s="99"/>
      <c r="DJ13" s="192"/>
      <c r="DK13" s="175"/>
      <c r="DL13" s="83"/>
      <c r="DM13" s="94"/>
      <c r="DN13" s="99"/>
      <c r="DO13" s="192"/>
      <c r="DP13" s="175"/>
      <c r="DQ13" s="83"/>
      <c r="DR13" s="94"/>
      <c r="DS13" s="99"/>
      <c r="DT13" s="192"/>
      <c r="DU13" s="175"/>
      <c r="DV13" s="83">
        <v>0</v>
      </c>
      <c r="DW13" s="94">
        <v>0</v>
      </c>
      <c r="DX13" s="99">
        <v>0</v>
      </c>
      <c r="DY13" s="192">
        <v>0</v>
      </c>
      <c r="DZ13" s="175">
        <f t="shared" si="26"/>
        <v>0</v>
      </c>
    </row>
    <row r="14" spans="1:130" x14ac:dyDescent="0.25">
      <c r="A14" s="59" t="s">
        <v>139</v>
      </c>
      <c r="B14" s="59" t="s">
        <v>140</v>
      </c>
      <c r="C14" s="59">
        <v>610</v>
      </c>
      <c r="D14" s="59">
        <f t="shared" si="9"/>
        <v>0.30499999999999999</v>
      </c>
      <c r="E14" s="59">
        <v>166401</v>
      </c>
      <c r="F14" s="59">
        <v>73515</v>
      </c>
      <c r="G14" s="59">
        <v>37437</v>
      </c>
      <c r="H14" s="59">
        <f t="shared" si="18"/>
        <v>110952</v>
      </c>
      <c r="I14" s="59">
        <f t="shared" si="19"/>
        <v>99773</v>
      </c>
      <c r="J14" s="59">
        <v>36265</v>
      </c>
      <c r="K14" s="59">
        <v>63508</v>
      </c>
      <c r="L14" s="59">
        <f t="shared" si="20"/>
        <v>55563</v>
      </c>
      <c r="M14" s="59">
        <v>35074</v>
      </c>
      <c r="N14" s="59">
        <v>20489</v>
      </c>
      <c r="O14" s="59">
        <f t="shared" si="27"/>
        <v>210899</v>
      </c>
      <c r="P14" s="59">
        <v>73603</v>
      </c>
      <c r="Q14" s="59">
        <v>75863</v>
      </c>
      <c r="R14" s="59">
        <v>33485</v>
      </c>
      <c r="S14" s="59">
        <v>24689</v>
      </c>
      <c r="T14" s="59">
        <f t="shared" si="22"/>
        <v>207640</v>
      </c>
      <c r="U14" s="59">
        <v>31633</v>
      </c>
      <c r="V14" s="59">
        <v>52771</v>
      </c>
      <c r="W14" s="59">
        <v>42441</v>
      </c>
      <c r="X14" s="59">
        <v>17405</v>
      </c>
      <c r="Y14" s="59">
        <f t="shared" si="21"/>
        <v>144250</v>
      </c>
      <c r="Z14" s="59">
        <v>58623</v>
      </c>
      <c r="AA14" s="59">
        <v>49707</v>
      </c>
      <c r="AB14" s="59">
        <v>48517</v>
      </c>
      <c r="AC14" s="59">
        <v>33720</v>
      </c>
      <c r="AD14" s="59">
        <f t="shared" si="0"/>
        <v>190567</v>
      </c>
      <c r="AE14" s="59">
        <v>69574</v>
      </c>
      <c r="AF14" s="59">
        <v>60410.32</v>
      </c>
      <c r="AG14" s="59">
        <v>40986.480000000003</v>
      </c>
      <c r="AH14" s="59">
        <v>27477</v>
      </c>
      <c r="AI14" s="59">
        <f t="shared" si="1"/>
        <v>198447.80000000002</v>
      </c>
      <c r="AJ14" s="59">
        <v>39157</v>
      </c>
      <c r="AK14" s="59">
        <v>49665</v>
      </c>
      <c r="AL14" s="59">
        <v>51239</v>
      </c>
      <c r="AM14" s="59">
        <v>28881</v>
      </c>
      <c r="AN14" s="59">
        <f t="shared" si="2"/>
        <v>168942</v>
      </c>
      <c r="AO14" s="59">
        <v>49546</v>
      </c>
      <c r="AP14" s="59">
        <v>54810</v>
      </c>
      <c r="AQ14" s="59">
        <v>45264</v>
      </c>
      <c r="AR14" s="59">
        <v>36719</v>
      </c>
      <c r="AS14" s="59">
        <f t="shared" si="3"/>
        <v>186339</v>
      </c>
      <c r="AT14" s="59">
        <v>51116</v>
      </c>
      <c r="AU14" s="59">
        <v>40253</v>
      </c>
      <c r="AV14" s="59">
        <v>44995</v>
      </c>
      <c r="AW14" s="59">
        <v>19978</v>
      </c>
      <c r="AX14" s="59">
        <f t="shared" si="4"/>
        <v>156342</v>
      </c>
      <c r="AY14" s="59">
        <v>41886.5</v>
      </c>
      <c r="AZ14" s="59">
        <v>29345.5</v>
      </c>
      <c r="BA14" s="59">
        <v>56070.720000000001</v>
      </c>
      <c r="BB14" s="59">
        <v>13232.5</v>
      </c>
      <c r="BC14" s="59">
        <f t="shared" si="5"/>
        <v>140535.22</v>
      </c>
      <c r="BD14" s="59">
        <v>40461</v>
      </c>
      <c r="BE14" s="59">
        <v>29228</v>
      </c>
      <c r="BF14" s="59">
        <v>40984</v>
      </c>
      <c r="BG14" s="59">
        <v>14735.5</v>
      </c>
      <c r="BH14" s="59">
        <f t="shared" si="10"/>
        <v>125408.5</v>
      </c>
      <c r="BI14" s="59">
        <v>38139</v>
      </c>
      <c r="BJ14" s="59">
        <v>49094</v>
      </c>
      <c r="BK14" s="59">
        <v>37800</v>
      </c>
      <c r="BL14" s="59">
        <v>22391.4</v>
      </c>
      <c r="BM14" s="59">
        <f t="shared" si="11"/>
        <v>147424.4</v>
      </c>
      <c r="BN14" s="59">
        <f t="shared" si="12"/>
        <v>148930.5</v>
      </c>
      <c r="BO14" s="59">
        <v>92184.8</v>
      </c>
      <c r="BP14" s="59">
        <v>56745.7</v>
      </c>
      <c r="BQ14" s="59">
        <v>29332.799999999999</v>
      </c>
      <c r="BR14" s="59">
        <v>8084.8</v>
      </c>
      <c r="BS14" s="59">
        <f t="shared" si="28"/>
        <v>186348.09999999998</v>
      </c>
      <c r="BT14" s="59">
        <v>42984.097600000001</v>
      </c>
      <c r="BU14" s="59">
        <v>25589.713500000002</v>
      </c>
      <c r="BV14" s="59">
        <v>35627.467980000001</v>
      </c>
      <c r="BW14" s="59">
        <f t="shared" si="14"/>
        <v>298634.17907999997</v>
      </c>
      <c r="BX14" s="59">
        <v>11796</v>
      </c>
      <c r="BY14" s="59">
        <v>30856</v>
      </c>
      <c r="BZ14" s="59">
        <v>29177</v>
      </c>
      <c r="CA14" s="59">
        <v>38941</v>
      </c>
      <c r="CB14" s="59">
        <f t="shared" si="15"/>
        <v>110770</v>
      </c>
      <c r="CC14" s="59">
        <v>20307</v>
      </c>
      <c r="CD14" s="59">
        <v>27082</v>
      </c>
      <c r="CE14" s="59">
        <v>12055</v>
      </c>
      <c r="CF14" s="59">
        <v>23975</v>
      </c>
      <c r="CG14" s="59">
        <f t="shared" si="6"/>
        <v>83419</v>
      </c>
      <c r="CH14" s="59">
        <v>16311</v>
      </c>
      <c r="CI14" s="59">
        <v>58700</v>
      </c>
      <c r="CJ14" s="59">
        <v>36128</v>
      </c>
      <c r="CK14" s="69">
        <v>30764</v>
      </c>
      <c r="CL14" s="59">
        <f t="shared" si="7"/>
        <v>141903</v>
      </c>
      <c r="CM14" s="46">
        <v>12974.804</v>
      </c>
      <c r="CN14" s="46">
        <v>55652.185210000011</v>
      </c>
      <c r="CO14" s="46">
        <v>10334.25351</v>
      </c>
      <c r="CP14" s="46">
        <v>32030.74846000001</v>
      </c>
      <c r="CQ14" s="59">
        <f t="shared" si="17"/>
        <v>110991.99118000001</v>
      </c>
      <c r="CR14" s="46">
        <v>14863.413199999999</v>
      </c>
      <c r="CS14" s="46">
        <v>40796.826099999998</v>
      </c>
      <c r="CT14" s="46">
        <v>31879.324000000011</v>
      </c>
      <c r="CU14" s="46">
        <v>23019.137800000004</v>
      </c>
      <c r="CV14" s="59">
        <f t="shared" si="8"/>
        <v>110558.70110000001</v>
      </c>
      <c r="CW14" s="46">
        <v>18465.179599999996</v>
      </c>
      <c r="CX14" s="46">
        <v>37675.500749999992</v>
      </c>
      <c r="CY14" s="46">
        <v>19005.438849999999</v>
      </c>
      <c r="CZ14" s="46">
        <v>32311.017250000001</v>
      </c>
      <c r="DA14" s="59">
        <f t="shared" si="16"/>
        <v>107457.13644999999</v>
      </c>
      <c r="DB14" s="81">
        <v>30324</v>
      </c>
      <c r="DC14" s="94">
        <v>47185</v>
      </c>
      <c r="DD14" s="94">
        <v>23918</v>
      </c>
      <c r="DE14" s="94">
        <v>34208</v>
      </c>
      <c r="DF14" s="102">
        <f>SUM(Table1[[#This Row],[JUL-SEP-20]:[APR-JUN 21]])</f>
        <v>135635</v>
      </c>
      <c r="DG14" s="193">
        <v>27468</v>
      </c>
      <c r="DH14" s="94">
        <v>53486</v>
      </c>
      <c r="DI14" s="94">
        <v>42846</v>
      </c>
      <c r="DJ14" s="94">
        <v>80475</v>
      </c>
      <c r="DK14" s="197">
        <f>SUM(DG14:DJ14)</f>
        <v>204275</v>
      </c>
      <c r="DL14" s="193">
        <v>18575</v>
      </c>
      <c r="DM14" s="94">
        <v>58532</v>
      </c>
      <c r="DN14" s="94">
        <v>43213</v>
      </c>
      <c r="DO14" s="94">
        <v>152864</v>
      </c>
      <c r="DP14" s="197">
        <f>SUM(DL14:DO14)</f>
        <v>273184</v>
      </c>
      <c r="DQ14" s="193">
        <v>36930</v>
      </c>
      <c r="DR14" s="94">
        <v>49235</v>
      </c>
      <c r="DS14" s="94">
        <v>33934</v>
      </c>
      <c r="DT14" s="94">
        <v>24612</v>
      </c>
      <c r="DU14" s="197">
        <f>SUM(DQ14:DT14)</f>
        <v>144711</v>
      </c>
      <c r="DV14" s="193">
        <v>37505</v>
      </c>
      <c r="DW14" s="94">
        <v>73302</v>
      </c>
      <c r="DX14" s="94">
        <v>43955</v>
      </c>
      <c r="DY14" s="94">
        <v>0</v>
      </c>
      <c r="DZ14" s="197">
        <f>SUM(DV14:DY14)</f>
        <v>154762</v>
      </c>
    </row>
    <row r="15" spans="1:130" x14ac:dyDescent="0.25">
      <c r="A15" s="49" t="s">
        <v>141</v>
      </c>
      <c r="B15" s="49" t="s">
        <v>142</v>
      </c>
      <c r="C15" s="49">
        <v>800</v>
      </c>
      <c r="D15" s="49">
        <f t="shared" si="9"/>
        <v>0.4</v>
      </c>
      <c r="E15" s="49">
        <v>33737</v>
      </c>
      <c r="F15" s="49">
        <v>26730</v>
      </c>
      <c r="G15" s="49">
        <v>10502</v>
      </c>
      <c r="H15" s="49">
        <f t="shared" si="18"/>
        <v>37232</v>
      </c>
      <c r="I15" s="49">
        <f t="shared" si="19"/>
        <v>20803</v>
      </c>
      <c r="J15" s="49">
        <v>5324</v>
      </c>
      <c r="K15" s="49">
        <v>15479</v>
      </c>
      <c r="L15" s="49">
        <f t="shared" si="20"/>
        <v>11510</v>
      </c>
      <c r="M15" s="49">
        <v>9314</v>
      </c>
      <c r="N15" s="49">
        <v>2196</v>
      </c>
      <c r="O15" s="49">
        <f t="shared" si="27"/>
        <v>43823</v>
      </c>
      <c r="P15" s="49">
        <v>5855</v>
      </c>
      <c r="Q15" s="49">
        <v>16017</v>
      </c>
      <c r="R15" s="49">
        <v>6781</v>
      </c>
      <c r="S15" s="49">
        <v>7939</v>
      </c>
      <c r="T15" s="49">
        <f t="shared" si="22"/>
        <v>36592</v>
      </c>
      <c r="U15" s="49">
        <v>7225</v>
      </c>
      <c r="V15" s="49">
        <v>16843</v>
      </c>
      <c r="W15" s="49">
        <v>10632</v>
      </c>
      <c r="X15" s="49">
        <v>3530</v>
      </c>
      <c r="Y15" s="49">
        <f t="shared" si="21"/>
        <v>38230</v>
      </c>
      <c r="Z15" s="49">
        <v>4235</v>
      </c>
      <c r="AA15" s="49">
        <v>9777</v>
      </c>
      <c r="AB15" s="49">
        <v>13185</v>
      </c>
      <c r="AC15" s="49">
        <v>2877</v>
      </c>
      <c r="AD15" s="49">
        <f t="shared" si="0"/>
        <v>30074</v>
      </c>
      <c r="AE15" s="49">
        <v>3880</v>
      </c>
      <c r="AF15" s="49">
        <v>10499</v>
      </c>
      <c r="AG15" s="49">
        <v>10088</v>
      </c>
      <c r="AH15" s="49">
        <v>2625</v>
      </c>
      <c r="AI15" s="49">
        <f t="shared" si="1"/>
        <v>27092</v>
      </c>
      <c r="AJ15" s="49">
        <v>4319</v>
      </c>
      <c r="AK15" s="49">
        <v>11183</v>
      </c>
      <c r="AL15" s="49">
        <v>6466</v>
      </c>
      <c r="AM15" s="49">
        <v>4484</v>
      </c>
      <c r="AN15" s="49">
        <f t="shared" si="2"/>
        <v>26452</v>
      </c>
      <c r="AO15" s="49">
        <v>4722</v>
      </c>
      <c r="AP15" s="49">
        <v>11848</v>
      </c>
      <c r="AQ15" s="49">
        <v>4125</v>
      </c>
      <c r="AR15" s="49">
        <v>516</v>
      </c>
      <c r="AS15" s="49">
        <f t="shared" si="3"/>
        <v>21211</v>
      </c>
      <c r="AT15" s="49">
        <v>6541</v>
      </c>
      <c r="AU15" s="49">
        <v>11846</v>
      </c>
      <c r="AV15" s="49">
        <v>6732</v>
      </c>
      <c r="AW15" s="49">
        <v>2109</v>
      </c>
      <c r="AX15" s="49">
        <f t="shared" si="4"/>
        <v>27228</v>
      </c>
      <c r="AY15" s="49">
        <v>5228</v>
      </c>
      <c r="AZ15" s="49">
        <v>8697</v>
      </c>
      <c r="BA15" s="49">
        <v>4568</v>
      </c>
      <c r="BB15" s="49">
        <v>2784</v>
      </c>
      <c r="BC15" s="49">
        <f t="shared" si="5"/>
        <v>21277</v>
      </c>
      <c r="BD15" s="49">
        <v>10297</v>
      </c>
      <c r="BE15" s="49">
        <v>20739</v>
      </c>
      <c r="BF15" s="49">
        <v>14785</v>
      </c>
      <c r="BG15" s="49">
        <v>1585</v>
      </c>
      <c r="BH15" s="49">
        <f t="shared" si="10"/>
        <v>47406</v>
      </c>
      <c r="BI15" s="49">
        <v>3243</v>
      </c>
      <c r="BJ15" s="49">
        <v>7226</v>
      </c>
      <c r="BK15" s="49">
        <v>3922</v>
      </c>
      <c r="BL15" s="49">
        <v>1734</v>
      </c>
      <c r="BM15" s="49">
        <f t="shared" si="11"/>
        <v>16125</v>
      </c>
      <c r="BN15" s="49">
        <f t="shared" si="12"/>
        <v>16839</v>
      </c>
      <c r="BO15" s="49">
        <v>3106</v>
      </c>
      <c r="BP15" s="49">
        <v>13733</v>
      </c>
      <c r="BQ15" s="49">
        <v>5084</v>
      </c>
      <c r="BR15" s="49">
        <v>1286</v>
      </c>
      <c r="BS15" s="47">
        <f t="shared" si="28"/>
        <v>23209</v>
      </c>
      <c r="BT15" s="49">
        <v>4541.6937500000004</v>
      </c>
      <c r="BU15" s="49">
        <v>13992.075500000001</v>
      </c>
      <c r="BV15" s="49">
        <v>8612.5130000000008</v>
      </c>
      <c r="BW15" s="47">
        <f t="shared" si="14"/>
        <v>51641.282249999997</v>
      </c>
      <c r="BX15" s="49">
        <v>1345</v>
      </c>
      <c r="BY15" s="49">
        <v>2157</v>
      </c>
      <c r="BZ15" s="49">
        <v>8650</v>
      </c>
      <c r="CA15" s="49">
        <v>3781</v>
      </c>
      <c r="CB15" s="47">
        <f t="shared" si="15"/>
        <v>15933</v>
      </c>
      <c r="CC15" s="49">
        <v>5264</v>
      </c>
      <c r="CD15" s="49">
        <v>1304</v>
      </c>
      <c r="CE15" s="49">
        <v>3972</v>
      </c>
      <c r="CF15" s="49">
        <v>4261</v>
      </c>
      <c r="CG15" s="47">
        <f t="shared" si="6"/>
        <v>14801</v>
      </c>
      <c r="CH15" s="49">
        <v>1920</v>
      </c>
      <c r="CI15" s="49">
        <v>932</v>
      </c>
      <c r="CJ15" s="49">
        <v>6900</v>
      </c>
      <c r="CK15" s="70">
        <v>2269</v>
      </c>
      <c r="CL15" s="47">
        <f t="shared" si="7"/>
        <v>12021</v>
      </c>
      <c r="CM15" s="46">
        <v>439.64875000000001</v>
      </c>
      <c r="CN15" s="46">
        <v>1284.9274999999998</v>
      </c>
      <c r="CO15" s="46">
        <v>2740.6515000000004</v>
      </c>
      <c r="CP15" s="46">
        <v>2420.2424999999998</v>
      </c>
      <c r="CQ15" s="47">
        <f t="shared" si="17"/>
        <v>6885.4702500000003</v>
      </c>
      <c r="CR15" s="46">
        <v>3720.9924999999998</v>
      </c>
      <c r="CS15" s="46">
        <v>23678.89750000001</v>
      </c>
      <c r="CT15" s="46">
        <v>12291.372499999999</v>
      </c>
      <c r="CU15" s="46">
        <v>2757.1231299999999</v>
      </c>
      <c r="CV15" s="47">
        <f t="shared" si="8"/>
        <v>42448.385630000012</v>
      </c>
      <c r="CW15" s="46">
        <v>30819.012999999999</v>
      </c>
      <c r="CX15" s="46">
        <v>2725.8194999999996</v>
      </c>
      <c r="CY15" s="46">
        <v>9587.3711999999996</v>
      </c>
      <c r="CZ15" s="46">
        <v>2219.6026000000006</v>
      </c>
      <c r="DA15" s="82">
        <f t="shared" si="16"/>
        <v>45351.806299999997</v>
      </c>
      <c r="DB15" s="83">
        <v>874</v>
      </c>
      <c r="DC15" s="94">
        <v>2307</v>
      </c>
      <c r="DD15" s="94">
        <v>8353</v>
      </c>
      <c r="DE15" s="94">
        <v>3730</v>
      </c>
      <c r="DF15" s="175">
        <f>SUM(Table1[[#This Row],[JUL-SEP-20]:[APR-JUN 21]])</f>
        <v>15264</v>
      </c>
      <c r="DG15" s="83">
        <v>43366</v>
      </c>
      <c r="DH15" s="94">
        <v>2420</v>
      </c>
      <c r="DI15" s="94">
        <v>11692</v>
      </c>
      <c r="DJ15" s="94">
        <v>3317</v>
      </c>
      <c r="DK15" s="174">
        <f>SUM(DG15:DJ15)</f>
        <v>60795</v>
      </c>
      <c r="DL15" s="83">
        <v>1322</v>
      </c>
      <c r="DM15" s="94">
        <v>1062</v>
      </c>
      <c r="DN15" s="94">
        <v>10538</v>
      </c>
      <c r="DO15" s="94">
        <v>45304</v>
      </c>
      <c r="DP15" s="174">
        <f>SUM(DL15:DO15)</f>
        <v>58226</v>
      </c>
      <c r="DQ15" s="83">
        <v>852</v>
      </c>
      <c r="DR15" s="94">
        <v>1500</v>
      </c>
      <c r="DS15" s="94">
        <v>8907</v>
      </c>
      <c r="DT15" s="94">
        <v>2712</v>
      </c>
      <c r="DU15" s="174">
        <f>SUM(DQ15:DT15)</f>
        <v>13971</v>
      </c>
      <c r="DV15" s="83">
        <v>1521</v>
      </c>
      <c r="DW15" s="94">
        <v>1493</v>
      </c>
      <c r="DX15" s="94">
        <v>7148</v>
      </c>
      <c r="DY15" s="94">
        <v>0</v>
      </c>
      <c r="DZ15" s="174">
        <f>SUM(DV15:DY15)</f>
        <v>10162</v>
      </c>
    </row>
    <row r="16" spans="1:130" x14ac:dyDescent="0.25">
      <c r="A16" s="59" t="s">
        <v>144</v>
      </c>
      <c r="B16" s="59" t="s">
        <v>145</v>
      </c>
      <c r="C16" s="59">
        <v>465</v>
      </c>
      <c r="D16" s="59">
        <f t="shared" si="9"/>
        <v>0.23250000000000001</v>
      </c>
      <c r="E16" s="59">
        <v>125398</v>
      </c>
      <c r="F16" s="59">
        <v>88485</v>
      </c>
      <c r="G16" s="59">
        <v>32570</v>
      </c>
      <c r="H16" s="59">
        <v>246453</v>
      </c>
      <c r="I16" s="59">
        <f t="shared" si="19"/>
        <v>37441</v>
      </c>
      <c r="J16" s="59">
        <v>7572</v>
      </c>
      <c r="K16" s="59">
        <v>29869</v>
      </c>
      <c r="L16" s="59">
        <f t="shared" si="20"/>
        <v>13263</v>
      </c>
      <c r="M16" s="59">
        <v>10266</v>
      </c>
      <c r="N16" s="59">
        <v>2997</v>
      </c>
      <c r="O16" s="59">
        <v>50704</v>
      </c>
      <c r="P16" s="59">
        <v>12838</v>
      </c>
      <c r="Q16" s="59">
        <v>22339</v>
      </c>
      <c r="R16" s="59">
        <v>14140</v>
      </c>
      <c r="S16" s="59">
        <v>11283.6</v>
      </c>
      <c r="T16" s="59">
        <v>50703</v>
      </c>
      <c r="U16" s="59">
        <v>20862</v>
      </c>
      <c r="V16" s="59">
        <v>48783</v>
      </c>
      <c r="W16" s="59">
        <v>22238</v>
      </c>
      <c r="X16" s="59">
        <v>8099</v>
      </c>
      <c r="Y16" s="59">
        <f t="shared" si="21"/>
        <v>99982</v>
      </c>
      <c r="Z16" s="59">
        <v>10778</v>
      </c>
      <c r="AA16" s="59">
        <v>33624</v>
      </c>
      <c r="AB16" s="59">
        <v>26707</v>
      </c>
      <c r="AC16" s="59">
        <v>8677</v>
      </c>
      <c r="AD16" s="59">
        <f t="shared" si="0"/>
        <v>79786</v>
      </c>
      <c r="AE16" s="59">
        <v>17229</v>
      </c>
      <c r="AF16" s="59">
        <v>4339</v>
      </c>
      <c r="AG16" s="59">
        <v>56500.6</v>
      </c>
      <c r="AH16" s="59">
        <v>8820</v>
      </c>
      <c r="AI16" s="59">
        <f t="shared" si="1"/>
        <v>86888.6</v>
      </c>
      <c r="AJ16" s="59">
        <v>12080</v>
      </c>
      <c r="AK16" s="59">
        <v>23140</v>
      </c>
      <c r="AL16" s="59">
        <v>22504</v>
      </c>
      <c r="AM16" s="59">
        <v>12174</v>
      </c>
      <c r="AN16" s="59">
        <f t="shared" si="2"/>
        <v>69898</v>
      </c>
      <c r="AO16" s="59">
        <v>12180</v>
      </c>
      <c r="AP16" s="59">
        <v>32100</v>
      </c>
      <c r="AQ16" s="59">
        <v>20772</v>
      </c>
      <c r="AR16" s="59">
        <v>6751</v>
      </c>
      <c r="AS16" s="59">
        <f t="shared" si="3"/>
        <v>71803</v>
      </c>
      <c r="AT16" s="59">
        <v>14527</v>
      </c>
      <c r="AU16" s="59">
        <v>29131</v>
      </c>
      <c r="AV16" s="59">
        <v>20633</v>
      </c>
      <c r="AW16" s="59">
        <v>6608</v>
      </c>
      <c r="AX16" s="59">
        <f t="shared" si="4"/>
        <v>70899</v>
      </c>
      <c r="AY16" s="59">
        <v>13959</v>
      </c>
      <c r="AZ16" s="59">
        <v>21853</v>
      </c>
      <c r="BA16" s="59">
        <v>18381</v>
      </c>
      <c r="BB16" s="59">
        <v>10789</v>
      </c>
      <c r="BC16" s="59">
        <f t="shared" si="5"/>
        <v>64982</v>
      </c>
      <c r="BD16" s="59">
        <v>16287</v>
      </c>
      <c r="BE16" s="59">
        <v>21719</v>
      </c>
      <c r="BF16" s="59">
        <v>19864</v>
      </c>
      <c r="BG16" s="59">
        <v>8702</v>
      </c>
      <c r="BH16" s="59">
        <f t="shared" si="10"/>
        <v>66572</v>
      </c>
      <c r="BI16" s="59">
        <v>13950</v>
      </c>
      <c r="BJ16" s="59">
        <v>19404</v>
      </c>
      <c r="BK16" s="59">
        <v>18957</v>
      </c>
      <c r="BL16" s="59">
        <v>8599</v>
      </c>
      <c r="BM16" s="59">
        <f t="shared" si="11"/>
        <v>60910</v>
      </c>
      <c r="BN16" s="59">
        <f t="shared" si="12"/>
        <v>41429</v>
      </c>
      <c r="BO16" s="59">
        <v>12732</v>
      </c>
      <c r="BP16" s="59">
        <v>28697</v>
      </c>
      <c r="BQ16" s="59">
        <v>29714</v>
      </c>
      <c r="BR16" s="59">
        <v>8275</v>
      </c>
      <c r="BS16" s="59">
        <f t="shared" si="28"/>
        <v>79418</v>
      </c>
      <c r="BT16" s="59">
        <v>13958.982749999999</v>
      </c>
      <c r="BU16" s="59">
        <v>22372.338199999998</v>
      </c>
      <c r="BV16" s="59">
        <v>24692.335879999999</v>
      </c>
      <c r="BW16" s="59">
        <f t="shared" si="14"/>
        <v>148716.65682999999</v>
      </c>
      <c r="BX16" s="59">
        <v>6147</v>
      </c>
      <c r="BY16" s="59">
        <v>6159</v>
      </c>
      <c r="BZ16" s="59">
        <v>15687</v>
      </c>
      <c r="CA16" s="59">
        <v>15696</v>
      </c>
      <c r="CB16" s="59">
        <f t="shared" si="15"/>
        <v>43689</v>
      </c>
      <c r="CC16" s="59">
        <v>5910</v>
      </c>
      <c r="CD16" s="59">
        <v>4871</v>
      </c>
      <c r="CE16" s="59">
        <v>9109</v>
      </c>
      <c r="CF16" s="59">
        <v>17371</v>
      </c>
      <c r="CG16" s="59">
        <f t="shared" si="6"/>
        <v>37261</v>
      </c>
      <c r="CH16" s="59">
        <v>4172</v>
      </c>
      <c r="CI16" s="59">
        <v>3694</v>
      </c>
      <c r="CJ16" s="59">
        <v>10938</v>
      </c>
      <c r="CK16" s="69">
        <v>7853</v>
      </c>
      <c r="CL16" s="59">
        <f t="shared" si="7"/>
        <v>26657</v>
      </c>
      <c r="CM16" s="46">
        <v>5862.892890000001</v>
      </c>
      <c r="CN16" s="46">
        <v>3332.0075999999995</v>
      </c>
      <c r="CO16" s="46">
        <v>3307.0188600000001</v>
      </c>
      <c r="CP16" s="46">
        <v>7214.582379999998</v>
      </c>
      <c r="CQ16" s="59">
        <f t="shared" si="17"/>
        <v>19716.501729999996</v>
      </c>
      <c r="CR16" s="46">
        <v>2709.4393499999996</v>
      </c>
      <c r="CS16" s="46">
        <v>6565.8178100000005</v>
      </c>
      <c r="CT16" s="46">
        <v>2854.681</v>
      </c>
      <c r="CU16" s="46">
        <v>3961.8341499999997</v>
      </c>
      <c r="CV16" s="59">
        <f t="shared" si="8"/>
        <v>16091.77231</v>
      </c>
      <c r="CW16" s="46">
        <v>985.47451000000012</v>
      </c>
      <c r="CX16" s="46">
        <v>2488.1927999999998</v>
      </c>
      <c r="CY16" s="46">
        <v>13680.010960000001</v>
      </c>
      <c r="CZ16" s="46">
        <v>3470.3309100000006</v>
      </c>
      <c r="DA16" s="59">
        <f t="shared" si="16"/>
        <v>20624.009180000001</v>
      </c>
      <c r="DB16" s="78">
        <v>3105</v>
      </c>
      <c r="DC16" s="94">
        <v>8694</v>
      </c>
      <c r="DD16" s="94">
        <v>17379</v>
      </c>
      <c r="DE16" s="94">
        <v>8878</v>
      </c>
      <c r="DF16" s="102">
        <f>SUM(Table1[[#This Row],[JUL-SEP-20]:[APR-JUN 21]])</f>
        <v>38056</v>
      </c>
      <c r="DG16" s="79">
        <v>23593</v>
      </c>
      <c r="DH16" s="97">
        <v>18656</v>
      </c>
      <c r="DI16" s="97">
        <v>31543</v>
      </c>
      <c r="DJ16" s="97">
        <v>5984</v>
      </c>
      <c r="DK16" s="197">
        <f t="shared" ref="DK16:DK33" si="29">SUM(DG16:DJ16)</f>
        <v>79776</v>
      </c>
      <c r="DL16" s="79">
        <v>2200</v>
      </c>
      <c r="DM16" s="97">
        <v>4737</v>
      </c>
      <c r="DN16" s="97">
        <v>18045</v>
      </c>
      <c r="DO16" s="97">
        <v>5741</v>
      </c>
      <c r="DP16" s="197">
        <f t="shared" ref="DP16:DP33" si="30">SUM(DL16:DO16)</f>
        <v>30723</v>
      </c>
      <c r="DQ16" s="79">
        <v>3500</v>
      </c>
      <c r="DR16" s="97">
        <v>9593</v>
      </c>
      <c r="DS16" s="97">
        <v>21522</v>
      </c>
      <c r="DT16" s="97">
        <v>6258</v>
      </c>
      <c r="DU16" s="197">
        <f t="shared" ref="DU16:DU33" si="31">SUM(DQ16:DT16)</f>
        <v>40873</v>
      </c>
      <c r="DV16" s="79">
        <v>6118</v>
      </c>
      <c r="DW16" s="97">
        <v>9041</v>
      </c>
      <c r="DX16" s="97">
        <v>17459</v>
      </c>
      <c r="DY16" s="97">
        <v>0</v>
      </c>
      <c r="DZ16" s="197">
        <f t="shared" ref="DZ16:DZ33" si="32">SUM(DV16:DY16)</f>
        <v>32618</v>
      </c>
    </row>
    <row r="17" spans="1:130" x14ac:dyDescent="0.25">
      <c r="A17" s="49" t="s">
        <v>146</v>
      </c>
      <c r="B17" s="49" t="s">
        <v>147</v>
      </c>
      <c r="C17" s="49">
        <v>225</v>
      </c>
      <c r="D17" s="49">
        <f t="shared" si="9"/>
        <v>0.1125</v>
      </c>
      <c r="E17" s="49">
        <v>754632</v>
      </c>
      <c r="F17" s="49">
        <v>514908</v>
      </c>
      <c r="G17" s="49">
        <v>190240</v>
      </c>
      <c r="H17" s="49">
        <f>SUM(F17:G17)</f>
        <v>705148</v>
      </c>
      <c r="I17" s="49">
        <f t="shared" si="19"/>
        <v>602640</v>
      </c>
      <c r="J17" s="49">
        <v>284358</v>
      </c>
      <c r="K17" s="49">
        <v>318282</v>
      </c>
      <c r="L17" s="49">
        <f t="shared" si="20"/>
        <v>174886</v>
      </c>
      <c r="M17" s="49">
        <v>138749</v>
      </c>
      <c r="N17" s="49">
        <v>36137</v>
      </c>
      <c r="O17" s="49">
        <f>SUM(J17:N17)</f>
        <v>952412</v>
      </c>
      <c r="P17" s="49">
        <v>424139</v>
      </c>
      <c r="Q17" s="49">
        <v>430208</v>
      </c>
      <c r="R17" s="49">
        <v>321989</v>
      </c>
      <c r="S17" s="49">
        <v>31365</v>
      </c>
      <c r="T17" s="49">
        <f>SUM(P17:S17)</f>
        <v>1207701</v>
      </c>
      <c r="U17" s="49">
        <v>419415</v>
      </c>
      <c r="V17" s="49">
        <v>449176</v>
      </c>
      <c r="W17" s="49">
        <v>303663</v>
      </c>
      <c r="X17" s="49">
        <v>25315</v>
      </c>
      <c r="Y17" s="49">
        <f t="shared" si="21"/>
        <v>1197569</v>
      </c>
      <c r="Z17" s="49">
        <v>349089</v>
      </c>
      <c r="AA17" s="49">
        <v>405441</v>
      </c>
      <c r="AB17" s="49">
        <v>335183</v>
      </c>
      <c r="AC17" s="49">
        <v>32014</v>
      </c>
      <c r="AD17" s="49">
        <f t="shared" si="0"/>
        <v>1121727</v>
      </c>
      <c r="AE17" s="49">
        <v>365914</v>
      </c>
      <c r="AF17" s="49">
        <v>684635</v>
      </c>
      <c r="AG17" s="49">
        <v>310089.8</v>
      </c>
      <c r="AH17" s="49">
        <v>35031</v>
      </c>
      <c r="AI17" s="49">
        <f t="shared" si="1"/>
        <v>1395669.8</v>
      </c>
      <c r="AJ17" s="49">
        <v>519008</v>
      </c>
      <c r="AK17" s="49">
        <v>592809</v>
      </c>
      <c r="AL17" s="49">
        <v>242463</v>
      </c>
      <c r="AM17" s="49">
        <v>36149</v>
      </c>
      <c r="AN17" s="49">
        <f t="shared" si="2"/>
        <v>1390429</v>
      </c>
      <c r="AO17" s="49">
        <v>501246</v>
      </c>
      <c r="AP17" s="49">
        <v>555211</v>
      </c>
      <c r="AQ17" s="49">
        <v>230664</v>
      </c>
      <c r="AR17" s="49">
        <v>53807</v>
      </c>
      <c r="AS17" s="49">
        <f t="shared" si="3"/>
        <v>1340928</v>
      </c>
      <c r="AT17" s="49">
        <v>557855</v>
      </c>
      <c r="AU17" s="49">
        <v>548575</v>
      </c>
      <c r="AV17" s="49">
        <v>265687</v>
      </c>
      <c r="AW17" s="49">
        <v>92554</v>
      </c>
      <c r="AX17" s="49">
        <f t="shared" si="4"/>
        <v>1464671</v>
      </c>
      <c r="AY17" s="49">
        <v>577232</v>
      </c>
      <c r="AZ17" s="49">
        <v>551597.80000000005</v>
      </c>
      <c r="BA17" s="49">
        <v>351327</v>
      </c>
      <c r="BB17" s="49">
        <v>75170.600000000006</v>
      </c>
      <c r="BC17" s="49">
        <f t="shared" si="5"/>
        <v>1555327.4000000001</v>
      </c>
      <c r="BD17" s="49">
        <v>666129</v>
      </c>
      <c r="BE17" s="49">
        <v>665991</v>
      </c>
      <c r="BF17" s="49">
        <v>217238</v>
      </c>
      <c r="BG17" s="49">
        <v>58479.4</v>
      </c>
      <c r="BH17" s="49">
        <f t="shared" si="10"/>
        <v>1607837.4</v>
      </c>
      <c r="BI17" s="49">
        <v>845035.4</v>
      </c>
      <c r="BJ17" s="49">
        <v>614076</v>
      </c>
      <c r="BK17" s="49">
        <v>178208</v>
      </c>
      <c r="BL17" s="49">
        <v>81458</v>
      </c>
      <c r="BM17" s="49">
        <f t="shared" si="11"/>
        <v>1718777.4</v>
      </c>
      <c r="BN17" s="49">
        <f t="shared" si="12"/>
        <v>1169454</v>
      </c>
      <c r="BO17" s="49">
        <v>609852</v>
      </c>
      <c r="BP17" s="49">
        <v>559602</v>
      </c>
      <c r="BQ17" s="49">
        <v>225882</v>
      </c>
      <c r="BR17" s="49">
        <v>41453</v>
      </c>
      <c r="BS17" s="47">
        <f t="shared" si="28"/>
        <v>1436789</v>
      </c>
      <c r="BT17" s="49">
        <v>551034.63119999995</v>
      </c>
      <c r="BU17" s="49">
        <v>431776.47480000003</v>
      </c>
      <c r="BV17" s="49">
        <v>213047.73120000001</v>
      </c>
      <c r="BW17" s="47">
        <f t="shared" si="14"/>
        <v>2674100.8372</v>
      </c>
      <c r="BX17" s="49">
        <v>41112</v>
      </c>
      <c r="BY17" s="49">
        <v>440009</v>
      </c>
      <c r="BZ17" s="49">
        <v>359317</v>
      </c>
      <c r="CA17" s="49">
        <v>221676</v>
      </c>
      <c r="CB17" s="47">
        <f t="shared" si="15"/>
        <v>1062114</v>
      </c>
      <c r="CC17" s="49">
        <v>58726</v>
      </c>
      <c r="CD17" s="49">
        <v>445447</v>
      </c>
      <c r="CE17" s="49">
        <v>393659</v>
      </c>
      <c r="CF17" s="49">
        <v>329159</v>
      </c>
      <c r="CG17" s="47">
        <f t="shared" si="6"/>
        <v>1226991</v>
      </c>
      <c r="CH17" s="49">
        <v>163065</v>
      </c>
      <c r="CI17" s="49">
        <v>454851</v>
      </c>
      <c r="CJ17" s="49">
        <v>315488</v>
      </c>
      <c r="CK17" s="70">
        <v>185726</v>
      </c>
      <c r="CL17" s="47">
        <f t="shared" si="7"/>
        <v>1119130</v>
      </c>
      <c r="CM17" s="46">
        <v>41945.599999999999</v>
      </c>
      <c r="CN17" s="46">
        <v>452487.48499999999</v>
      </c>
      <c r="CO17" s="46">
        <v>382328.2</v>
      </c>
      <c r="CP17" s="46">
        <v>135683.6</v>
      </c>
      <c r="CQ17" s="47">
        <f t="shared" si="17"/>
        <v>1012444.8849999999</v>
      </c>
      <c r="CR17" s="46">
        <v>80309.655400000003</v>
      </c>
      <c r="CS17" s="46">
        <v>411792.4</v>
      </c>
      <c r="CT17" s="46">
        <v>360945</v>
      </c>
      <c r="CU17" s="46">
        <v>158001</v>
      </c>
      <c r="CV17" s="47">
        <f t="shared" si="8"/>
        <v>1011048.0554</v>
      </c>
      <c r="CW17" s="46">
        <v>47183.913399999998</v>
      </c>
      <c r="CX17" s="46">
        <v>407604</v>
      </c>
      <c r="CY17" s="46">
        <v>438095.66240000003</v>
      </c>
      <c r="CZ17" s="46">
        <v>106965</v>
      </c>
      <c r="DA17" s="47">
        <f t="shared" si="16"/>
        <v>999848.57579999999</v>
      </c>
      <c r="DB17" s="78">
        <v>33866</v>
      </c>
      <c r="DC17" s="94">
        <v>390368</v>
      </c>
      <c r="DD17" s="94">
        <v>371535</v>
      </c>
      <c r="DE17" s="94">
        <v>183514</v>
      </c>
      <c r="DF17" s="175">
        <f>SUM(Table1[[#This Row],[JUL-SEP-20]:[APR-JUN 21]])</f>
        <v>979283</v>
      </c>
      <c r="DG17" s="83">
        <v>55089</v>
      </c>
      <c r="DH17" s="94">
        <v>379789</v>
      </c>
      <c r="DI17" s="94">
        <v>422812</v>
      </c>
      <c r="DJ17" s="94">
        <v>152132</v>
      </c>
      <c r="DK17" s="175">
        <f t="shared" si="29"/>
        <v>1009822</v>
      </c>
      <c r="DL17" s="83">
        <v>34508</v>
      </c>
      <c r="DM17" s="94">
        <v>352509</v>
      </c>
      <c r="DN17" s="94">
        <v>311211</v>
      </c>
      <c r="DO17" s="94">
        <v>119441</v>
      </c>
      <c r="DP17" s="175">
        <f t="shared" si="30"/>
        <v>817669</v>
      </c>
      <c r="DQ17" s="83">
        <v>38716</v>
      </c>
      <c r="DR17" s="94">
        <v>341106</v>
      </c>
      <c r="DS17" s="94">
        <v>391144</v>
      </c>
      <c r="DT17" s="94">
        <v>98423</v>
      </c>
      <c r="DU17" s="175">
        <f t="shared" si="31"/>
        <v>869389</v>
      </c>
      <c r="DV17" s="83">
        <v>17970</v>
      </c>
      <c r="DW17" s="94">
        <v>315443</v>
      </c>
      <c r="DX17" s="94">
        <v>307576</v>
      </c>
      <c r="DY17" s="94">
        <v>0</v>
      </c>
      <c r="DZ17" s="175">
        <f t="shared" si="32"/>
        <v>640989</v>
      </c>
    </row>
    <row r="18" spans="1:130" x14ac:dyDescent="0.25">
      <c r="A18" s="59" t="s">
        <v>148</v>
      </c>
      <c r="B18" s="59" t="s">
        <v>149</v>
      </c>
      <c r="C18" s="59">
        <v>328</v>
      </c>
      <c r="D18" s="59">
        <f t="shared" si="9"/>
        <v>0.16400000000000001</v>
      </c>
      <c r="E18" s="59">
        <v>428973</v>
      </c>
      <c r="F18" s="59">
        <v>124152</v>
      </c>
      <c r="G18" s="59">
        <v>138471</v>
      </c>
      <c r="H18" s="59">
        <f>SUM(F18:G18)</f>
        <v>262623</v>
      </c>
      <c r="I18" s="59">
        <f t="shared" si="19"/>
        <v>55750</v>
      </c>
      <c r="J18" s="59">
        <v>14345</v>
      </c>
      <c r="K18" s="59">
        <v>41405</v>
      </c>
      <c r="L18" s="59">
        <f t="shared" si="20"/>
        <v>103957</v>
      </c>
      <c r="M18" s="59">
        <v>58077</v>
      </c>
      <c r="N18" s="59">
        <v>45880</v>
      </c>
      <c r="O18" s="59">
        <f>SUM(J18:N18)</f>
        <v>263664</v>
      </c>
      <c r="P18" s="59">
        <v>14513</v>
      </c>
      <c r="Q18" s="59">
        <v>42692</v>
      </c>
      <c r="R18" s="59">
        <v>56687</v>
      </c>
      <c r="S18" s="59">
        <v>20785</v>
      </c>
      <c r="T18" s="59">
        <f>SUM(P18:S18)</f>
        <v>134677</v>
      </c>
      <c r="U18" s="59">
        <v>29290</v>
      </c>
      <c r="V18" s="59">
        <v>65604</v>
      </c>
      <c r="W18" s="59">
        <v>47612</v>
      </c>
      <c r="X18" s="59">
        <v>40174</v>
      </c>
      <c r="Y18" s="59">
        <f t="shared" si="21"/>
        <v>182680</v>
      </c>
      <c r="Z18" s="59">
        <v>10421</v>
      </c>
      <c r="AA18" s="59">
        <v>51137</v>
      </c>
      <c r="AB18" s="59">
        <v>208125</v>
      </c>
      <c r="AC18" s="59">
        <v>99690</v>
      </c>
      <c r="AD18" s="59">
        <f t="shared" si="0"/>
        <v>369373</v>
      </c>
      <c r="AE18" s="59">
        <v>22257.55</v>
      </c>
      <c r="AF18" s="59">
        <v>63043.6</v>
      </c>
      <c r="AG18" s="59">
        <v>193117.25</v>
      </c>
      <c r="AH18" s="59">
        <v>8000</v>
      </c>
      <c r="AI18" s="59">
        <f t="shared" si="1"/>
        <v>286418.40000000002</v>
      </c>
      <c r="AJ18" s="59">
        <v>32158</v>
      </c>
      <c r="AK18" s="59">
        <v>155882</v>
      </c>
      <c r="AL18" s="59">
        <v>215000</v>
      </c>
      <c r="AM18" s="59">
        <v>145651</v>
      </c>
      <c r="AN18" s="59">
        <f t="shared" si="2"/>
        <v>548691</v>
      </c>
      <c r="AO18" s="59">
        <v>35972</v>
      </c>
      <c r="AP18" s="59">
        <v>117104</v>
      </c>
      <c r="AQ18" s="59">
        <v>130495</v>
      </c>
      <c r="AR18" s="59">
        <v>114135</v>
      </c>
      <c r="AS18" s="59">
        <f t="shared" si="3"/>
        <v>397706</v>
      </c>
      <c r="AT18" s="59">
        <v>63644</v>
      </c>
      <c r="AU18" s="59">
        <v>121207</v>
      </c>
      <c r="AV18" s="59">
        <v>143829</v>
      </c>
      <c r="AW18" s="59">
        <v>82262</v>
      </c>
      <c r="AX18" s="59">
        <f t="shared" si="4"/>
        <v>410942</v>
      </c>
      <c r="AY18" s="59">
        <v>43469</v>
      </c>
      <c r="AZ18" s="59">
        <v>80748</v>
      </c>
      <c r="BA18" s="59">
        <v>53901</v>
      </c>
      <c r="BB18" s="59">
        <v>7937</v>
      </c>
      <c r="BC18" s="59">
        <f t="shared" si="5"/>
        <v>186055</v>
      </c>
      <c r="BD18" s="59">
        <v>17547</v>
      </c>
      <c r="BE18" s="59">
        <v>103062</v>
      </c>
      <c r="BF18" s="59">
        <v>29515</v>
      </c>
      <c r="BG18" s="59">
        <v>58159</v>
      </c>
      <c r="BH18" s="59">
        <f t="shared" si="10"/>
        <v>208283</v>
      </c>
      <c r="BI18" s="59">
        <v>28343</v>
      </c>
      <c r="BJ18" s="59">
        <v>132849</v>
      </c>
      <c r="BK18" s="59">
        <v>36118</v>
      </c>
      <c r="BL18" s="59">
        <v>63912.9</v>
      </c>
      <c r="BM18" s="59">
        <f t="shared" si="11"/>
        <v>261222.9</v>
      </c>
      <c r="BN18" s="59">
        <f t="shared" si="12"/>
        <v>146845.1</v>
      </c>
      <c r="BO18" s="59">
        <v>32338.9</v>
      </c>
      <c r="BP18" s="59">
        <v>114506.2</v>
      </c>
      <c r="BQ18" s="59">
        <v>113417.7</v>
      </c>
      <c r="BR18" s="59">
        <v>34645.199999999997</v>
      </c>
      <c r="BS18" s="59">
        <f t="shared" si="28"/>
        <v>294908</v>
      </c>
      <c r="BT18" s="59">
        <v>31138.6034</v>
      </c>
      <c r="BU18" s="59">
        <v>108594.7674</v>
      </c>
      <c r="BV18" s="59">
        <v>74630.919970000003</v>
      </c>
      <c r="BW18" s="59">
        <f t="shared" si="14"/>
        <v>543917.49077000003</v>
      </c>
      <c r="BX18" s="59">
        <v>65925</v>
      </c>
      <c r="BY18" s="59">
        <v>40558</v>
      </c>
      <c r="BZ18" s="59">
        <v>61611</v>
      </c>
      <c r="CA18" s="59">
        <v>54311</v>
      </c>
      <c r="CB18" s="59">
        <f t="shared" si="15"/>
        <v>222405</v>
      </c>
      <c r="CC18" s="59">
        <v>45151</v>
      </c>
      <c r="CD18" s="59">
        <v>25018</v>
      </c>
      <c r="CE18" s="59">
        <v>131445</v>
      </c>
      <c r="CF18" s="59">
        <v>151312</v>
      </c>
      <c r="CG18" s="59">
        <f t="shared" si="6"/>
        <v>352926</v>
      </c>
      <c r="CH18" s="59">
        <v>46339</v>
      </c>
      <c r="CI18" s="59">
        <v>65596</v>
      </c>
      <c r="CJ18" s="59">
        <v>130252</v>
      </c>
      <c r="CK18" s="69">
        <v>70274</v>
      </c>
      <c r="CL18" s="59">
        <f t="shared" si="7"/>
        <v>312461</v>
      </c>
      <c r="CM18" s="46">
        <v>61362.418259999999</v>
      </c>
      <c r="CN18" s="46">
        <v>64035.083030000002</v>
      </c>
      <c r="CO18" s="46">
        <v>115647.71729000002</v>
      </c>
      <c r="CP18" s="46">
        <v>102741.10337</v>
      </c>
      <c r="CQ18" s="59">
        <f t="shared" si="17"/>
        <v>343786.32195000001</v>
      </c>
      <c r="CR18" s="46">
        <v>48632.775949999996</v>
      </c>
      <c r="CS18" s="46">
        <v>32158.860319999996</v>
      </c>
      <c r="CT18" s="46">
        <v>130846.64375</v>
      </c>
      <c r="CU18" s="46">
        <v>84475.381329999989</v>
      </c>
      <c r="CV18" s="59">
        <f t="shared" si="8"/>
        <v>296113.66135000001</v>
      </c>
      <c r="CW18" s="46">
        <v>16109.154809999998</v>
      </c>
      <c r="CX18" s="46">
        <v>17379.987459999997</v>
      </c>
      <c r="CY18" s="46">
        <v>106549.55164000002</v>
      </c>
      <c r="CZ18" s="46">
        <v>84123.356009999989</v>
      </c>
      <c r="DA18" s="59">
        <f t="shared" si="16"/>
        <v>224162.04992000002</v>
      </c>
      <c r="DB18" s="78">
        <v>26435</v>
      </c>
      <c r="DC18" s="94">
        <v>15913</v>
      </c>
      <c r="DD18" s="94">
        <v>73129</v>
      </c>
      <c r="DE18" s="94">
        <v>65010</v>
      </c>
      <c r="DF18" s="102">
        <f>SUM(Table1[[#This Row],[JUL-SEP-20]:[APR-JUN 21]])</f>
        <v>180487</v>
      </c>
      <c r="DG18" s="83">
        <v>34879</v>
      </c>
      <c r="DH18" s="94">
        <v>8123</v>
      </c>
      <c r="DI18" s="94">
        <v>81867</v>
      </c>
      <c r="DJ18" s="94">
        <v>41895</v>
      </c>
      <c r="DK18" s="197">
        <f t="shared" si="29"/>
        <v>166764</v>
      </c>
      <c r="DL18" s="83">
        <v>21970</v>
      </c>
      <c r="DM18" s="94">
        <v>2151</v>
      </c>
      <c r="DN18" s="94">
        <v>45720</v>
      </c>
      <c r="DO18" s="94">
        <v>45728</v>
      </c>
      <c r="DP18" s="197">
        <f t="shared" si="30"/>
        <v>115569</v>
      </c>
      <c r="DQ18" s="83">
        <v>13444</v>
      </c>
      <c r="DR18" s="94">
        <v>7140</v>
      </c>
      <c r="DS18" s="94">
        <v>54856</v>
      </c>
      <c r="DT18" s="94">
        <v>43877</v>
      </c>
      <c r="DU18" s="197">
        <f t="shared" si="31"/>
        <v>119317</v>
      </c>
      <c r="DV18" s="83">
        <v>10684</v>
      </c>
      <c r="DW18" s="94">
        <v>5474</v>
      </c>
      <c r="DX18" s="94">
        <v>40375</v>
      </c>
      <c r="DY18" s="94">
        <v>0</v>
      </c>
      <c r="DZ18" s="197">
        <f t="shared" si="32"/>
        <v>56533</v>
      </c>
    </row>
    <row r="19" spans="1:130" x14ac:dyDescent="0.25">
      <c r="A19" s="49" t="s">
        <v>150</v>
      </c>
      <c r="B19" s="49" t="s">
        <v>151</v>
      </c>
      <c r="C19" s="49">
        <v>910</v>
      </c>
      <c r="D19" s="49">
        <f t="shared" si="9"/>
        <v>0.45500000000000002</v>
      </c>
      <c r="E19" s="49"/>
      <c r="F19" s="49"/>
      <c r="G19" s="49"/>
      <c r="H19" s="49"/>
      <c r="I19" s="49">
        <f t="shared" si="19"/>
        <v>0</v>
      </c>
      <c r="J19" s="49"/>
      <c r="K19" s="49"/>
      <c r="L19" s="49">
        <f t="shared" si="20"/>
        <v>0</v>
      </c>
      <c r="M19" s="49"/>
      <c r="N19" s="49"/>
      <c r="O19" s="49"/>
      <c r="P19" s="49"/>
      <c r="Q19" s="49"/>
      <c r="R19" s="49"/>
      <c r="S19" s="49"/>
      <c r="T19" s="49">
        <v>264383</v>
      </c>
      <c r="U19" s="49"/>
      <c r="V19" s="49"/>
      <c r="W19" s="49"/>
      <c r="X19" s="49"/>
      <c r="Y19" s="49">
        <v>213067</v>
      </c>
      <c r="Z19" s="49">
        <v>28185</v>
      </c>
      <c r="AA19" s="49">
        <v>54137</v>
      </c>
      <c r="AB19" s="49">
        <v>265876</v>
      </c>
      <c r="AC19" s="49">
        <v>87421</v>
      </c>
      <c r="AD19" s="49">
        <f t="shared" si="0"/>
        <v>435619</v>
      </c>
      <c r="AE19" s="49">
        <v>46139</v>
      </c>
      <c r="AF19" s="49">
        <v>76610</v>
      </c>
      <c r="AG19" s="49">
        <v>199208</v>
      </c>
      <c r="AH19" s="49">
        <v>144191</v>
      </c>
      <c r="AI19" s="49">
        <f t="shared" si="1"/>
        <v>466148</v>
      </c>
      <c r="AJ19" s="49">
        <v>32964</v>
      </c>
      <c r="AK19" s="49">
        <v>78539</v>
      </c>
      <c r="AL19" s="49">
        <v>251180</v>
      </c>
      <c r="AM19" s="49">
        <v>186849</v>
      </c>
      <c r="AN19" s="49">
        <f t="shared" si="2"/>
        <v>549532</v>
      </c>
      <c r="AO19" s="49">
        <v>52518</v>
      </c>
      <c r="AP19" s="49">
        <v>123459</v>
      </c>
      <c r="AQ19" s="49">
        <v>196046</v>
      </c>
      <c r="AR19" s="49">
        <v>156528</v>
      </c>
      <c r="AS19" s="49">
        <f t="shared" si="3"/>
        <v>528551</v>
      </c>
      <c r="AT19" s="49">
        <v>53253</v>
      </c>
      <c r="AU19" s="49">
        <v>88896</v>
      </c>
      <c r="AV19" s="49">
        <v>193175</v>
      </c>
      <c r="AW19" s="49">
        <v>109962</v>
      </c>
      <c r="AX19" s="49">
        <f t="shared" si="4"/>
        <v>445286</v>
      </c>
      <c r="AY19" s="49">
        <v>66762</v>
      </c>
      <c r="AZ19" s="49">
        <v>76701</v>
      </c>
      <c r="BA19" s="49">
        <v>113147.6</v>
      </c>
      <c r="BB19" s="49">
        <v>35876</v>
      </c>
      <c r="BC19" s="49">
        <f t="shared" si="5"/>
        <v>292486.59999999998</v>
      </c>
      <c r="BD19" s="49">
        <v>40376</v>
      </c>
      <c r="BE19" s="49">
        <v>98811</v>
      </c>
      <c r="BF19" s="49">
        <v>74036</v>
      </c>
      <c r="BG19" s="49">
        <v>123986.5</v>
      </c>
      <c r="BH19" s="49">
        <f t="shared" si="10"/>
        <v>337209.5</v>
      </c>
      <c r="BI19" s="49">
        <v>59329</v>
      </c>
      <c r="BJ19" s="49">
        <v>122996</v>
      </c>
      <c r="BK19" s="49">
        <v>68362</v>
      </c>
      <c r="BL19" s="49">
        <v>107194.5</v>
      </c>
      <c r="BM19" s="49">
        <f t="shared" si="11"/>
        <v>357881.5</v>
      </c>
      <c r="BN19" s="49">
        <f t="shared" si="12"/>
        <v>156789.54999999999</v>
      </c>
      <c r="BO19" s="49">
        <v>87828.95</v>
      </c>
      <c r="BP19" s="49">
        <v>68960.600000000006</v>
      </c>
      <c r="BQ19" s="49">
        <v>171005.4</v>
      </c>
      <c r="BR19" s="49">
        <v>70066</v>
      </c>
      <c r="BS19" s="47">
        <f t="shared" si="28"/>
        <v>397860.94999999995</v>
      </c>
      <c r="BT19" s="49">
        <v>83691.134340000004</v>
      </c>
      <c r="BU19" s="49">
        <v>124358.94615</v>
      </c>
      <c r="BV19" s="49">
        <v>196652.56852999999</v>
      </c>
      <c r="BW19" s="47">
        <f t="shared" si="14"/>
        <v>872629.59901999985</v>
      </c>
      <c r="BX19" s="49">
        <v>125597</v>
      </c>
      <c r="BY19" s="49">
        <v>40544</v>
      </c>
      <c r="BZ19" s="49">
        <v>148577</v>
      </c>
      <c r="CA19" s="49">
        <v>118659</v>
      </c>
      <c r="CB19" s="47">
        <f t="shared" si="15"/>
        <v>433377</v>
      </c>
      <c r="CC19" s="49">
        <v>67288</v>
      </c>
      <c r="CD19" s="49">
        <v>35776</v>
      </c>
      <c r="CE19" s="49">
        <v>70142</v>
      </c>
      <c r="CF19" s="49">
        <v>185654</v>
      </c>
      <c r="CG19" s="47">
        <f t="shared" si="6"/>
        <v>358860</v>
      </c>
      <c r="CH19" s="49">
        <v>76759</v>
      </c>
      <c r="CI19" s="49">
        <v>69592</v>
      </c>
      <c r="CJ19" s="49">
        <v>212137</v>
      </c>
      <c r="CK19" s="70">
        <v>378096</v>
      </c>
      <c r="CL19" s="47">
        <f t="shared" si="7"/>
        <v>736584</v>
      </c>
      <c r="CM19" s="46">
        <v>164969.85619000008</v>
      </c>
      <c r="CN19" s="46">
        <v>198130.71532000005</v>
      </c>
      <c r="CO19" s="46">
        <v>331865.34376999998</v>
      </c>
      <c r="CP19" s="46">
        <v>422211.38360999996</v>
      </c>
      <c r="CQ19" s="47">
        <f t="shared" si="17"/>
        <v>1117177.29889</v>
      </c>
      <c r="CR19" s="46">
        <v>193169.26826999997</v>
      </c>
      <c r="CS19" s="46">
        <v>184327.15797999996</v>
      </c>
      <c r="CT19" s="46">
        <v>273417.06007999985</v>
      </c>
      <c r="CU19" s="46">
        <v>272717.06112999981</v>
      </c>
      <c r="CV19" s="47">
        <f t="shared" si="8"/>
        <v>923630.54745999957</v>
      </c>
      <c r="CW19" s="46">
        <v>133544.87071000002</v>
      </c>
      <c r="CX19" s="46">
        <v>117139.63310000004</v>
      </c>
      <c r="CY19" s="46">
        <v>225222.15260999987</v>
      </c>
      <c r="CZ19" s="46">
        <v>218956.07602999982</v>
      </c>
      <c r="DA19" s="47">
        <f t="shared" si="16"/>
        <v>694862.73244999978</v>
      </c>
      <c r="DB19" s="78">
        <v>144093</v>
      </c>
      <c r="DC19" s="94">
        <v>76085</v>
      </c>
      <c r="DD19" s="94">
        <v>162839</v>
      </c>
      <c r="DE19" s="94">
        <v>230609</v>
      </c>
      <c r="DF19" s="175">
        <f>SUM(Table1[[#This Row],[JUL-SEP-20]:[APR-JUN 21]])</f>
        <v>613626</v>
      </c>
      <c r="DG19" s="83">
        <v>144913</v>
      </c>
      <c r="DH19" s="94">
        <v>48513</v>
      </c>
      <c r="DI19" s="94">
        <v>133355</v>
      </c>
      <c r="DJ19" s="94">
        <v>108861</v>
      </c>
      <c r="DK19" s="175">
        <f t="shared" si="29"/>
        <v>435642</v>
      </c>
      <c r="DL19" s="83">
        <v>73948</v>
      </c>
      <c r="DM19" s="94">
        <v>30834</v>
      </c>
      <c r="DN19" s="94">
        <v>65580</v>
      </c>
      <c r="DO19" s="94">
        <v>94146</v>
      </c>
      <c r="DP19" s="175">
        <f t="shared" si="30"/>
        <v>264508</v>
      </c>
      <c r="DQ19" s="83">
        <v>63136</v>
      </c>
      <c r="DR19" s="94">
        <v>47020</v>
      </c>
      <c r="DS19" s="94">
        <v>84206</v>
      </c>
      <c r="DT19" s="94">
        <v>76375</v>
      </c>
      <c r="DU19" s="175">
        <f t="shared" si="31"/>
        <v>270737</v>
      </c>
      <c r="DV19" s="83">
        <v>52532</v>
      </c>
      <c r="DW19" s="94">
        <v>45748</v>
      </c>
      <c r="DX19" s="94">
        <v>91034</v>
      </c>
      <c r="DY19" s="94">
        <v>0</v>
      </c>
      <c r="DZ19" s="175">
        <f t="shared" si="32"/>
        <v>189314</v>
      </c>
    </row>
    <row r="20" spans="1:130" x14ac:dyDescent="0.25">
      <c r="A20" s="59" t="s">
        <v>152</v>
      </c>
      <c r="B20" s="59" t="s">
        <v>153</v>
      </c>
      <c r="C20" s="59">
        <v>1320</v>
      </c>
      <c r="D20" s="59">
        <f t="shared" si="9"/>
        <v>0.66</v>
      </c>
      <c r="E20" s="59">
        <v>167777</v>
      </c>
      <c r="F20" s="59">
        <v>73316</v>
      </c>
      <c r="G20" s="59">
        <v>105996</v>
      </c>
      <c r="H20" s="59">
        <f>SUM(F20:G20)</f>
        <v>179312</v>
      </c>
      <c r="I20" s="59">
        <f t="shared" si="19"/>
        <v>66216</v>
      </c>
      <c r="J20" s="59">
        <v>8169</v>
      </c>
      <c r="K20" s="59">
        <v>58047</v>
      </c>
      <c r="L20" s="59">
        <f t="shared" si="20"/>
        <v>94790</v>
      </c>
      <c r="M20" s="59">
        <v>57581</v>
      </c>
      <c r="N20" s="59">
        <v>37209</v>
      </c>
      <c r="O20" s="59">
        <f>SUM(J20:N20)</f>
        <v>255796</v>
      </c>
      <c r="P20" s="59">
        <v>10176</v>
      </c>
      <c r="Q20" s="59">
        <v>48841</v>
      </c>
      <c r="R20" s="59">
        <v>58636</v>
      </c>
      <c r="S20" s="59">
        <v>45198</v>
      </c>
      <c r="T20" s="59">
        <f>SUM(P20:S20)</f>
        <v>162851</v>
      </c>
      <c r="U20" s="59">
        <v>13824</v>
      </c>
      <c r="V20" s="59">
        <v>81758</v>
      </c>
      <c r="W20" s="59">
        <v>54879</v>
      </c>
      <c r="X20" s="59">
        <v>34925</v>
      </c>
      <c r="Y20" s="59">
        <f t="shared" ref="Y20:Y27" si="33">SUM(U20:X20)</f>
        <v>185386</v>
      </c>
      <c r="Z20" s="59">
        <v>14350</v>
      </c>
      <c r="AA20" s="59">
        <v>74003</v>
      </c>
      <c r="AB20" s="59">
        <v>59609</v>
      </c>
      <c r="AC20" s="59">
        <v>36499</v>
      </c>
      <c r="AD20" s="59">
        <f t="shared" si="0"/>
        <v>184461</v>
      </c>
      <c r="AE20" s="59">
        <v>13534</v>
      </c>
      <c r="AF20" s="59">
        <v>91533.6</v>
      </c>
      <c r="AG20" s="59">
        <v>76916.399999999994</v>
      </c>
      <c r="AH20" s="59">
        <v>50732</v>
      </c>
      <c r="AI20" s="59">
        <f t="shared" si="1"/>
        <v>232716</v>
      </c>
      <c r="AJ20" s="59">
        <v>11942</v>
      </c>
      <c r="AK20" s="59">
        <v>83941</v>
      </c>
      <c r="AL20" s="59">
        <v>89758</v>
      </c>
      <c r="AM20" s="59">
        <v>54046</v>
      </c>
      <c r="AN20" s="59">
        <f t="shared" si="2"/>
        <v>239687</v>
      </c>
      <c r="AO20" s="59">
        <v>16442</v>
      </c>
      <c r="AP20" s="59">
        <v>75385</v>
      </c>
      <c r="AQ20" s="59">
        <v>121327</v>
      </c>
      <c r="AR20" s="59">
        <v>23389</v>
      </c>
      <c r="AS20" s="59">
        <f t="shared" si="3"/>
        <v>236543</v>
      </c>
      <c r="AT20" s="59">
        <v>15477</v>
      </c>
      <c r="AU20" s="59">
        <v>73929</v>
      </c>
      <c r="AV20" s="59">
        <v>71162</v>
      </c>
      <c r="AW20" s="59">
        <v>17186</v>
      </c>
      <c r="AX20" s="59">
        <f t="shared" si="4"/>
        <v>177754</v>
      </c>
      <c r="AY20" s="59">
        <v>14017</v>
      </c>
      <c r="AZ20" s="59">
        <v>46131</v>
      </c>
      <c r="BA20" s="59">
        <v>75569</v>
      </c>
      <c r="BB20" s="59">
        <v>79319</v>
      </c>
      <c r="BC20" s="59">
        <f t="shared" si="5"/>
        <v>215036</v>
      </c>
      <c r="BD20" s="59">
        <v>51871</v>
      </c>
      <c r="BE20" s="59">
        <v>140523</v>
      </c>
      <c r="BF20" s="59">
        <v>151629</v>
      </c>
      <c r="BG20" s="59">
        <v>44850</v>
      </c>
      <c r="BH20" s="59">
        <f t="shared" si="10"/>
        <v>388873</v>
      </c>
      <c r="BI20" s="59">
        <v>34719</v>
      </c>
      <c r="BJ20" s="59">
        <v>127798</v>
      </c>
      <c r="BK20" s="59">
        <v>166579</v>
      </c>
      <c r="BL20" s="59">
        <v>85758</v>
      </c>
      <c r="BM20" s="59">
        <f t="shared" si="11"/>
        <v>414854</v>
      </c>
      <c r="BN20" s="59">
        <f t="shared" si="12"/>
        <v>101167</v>
      </c>
      <c r="BO20" s="59">
        <v>27334</v>
      </c>
      <c r="BP20" s="59">
        <v>73833</v>
      </c>
      <c r="BQ20" s="59">
        <v>139580</v>
      </c>
      <c r="BR20" s="59">
        <v>44791</v>
      </c>
      <c r="BS20" s="59">
        <f t="shared" si="28"/>
        <v>285538</v>
      </c>
      <c r="BT20" s="59">
        <v>27506.476699999901</v>
      </c>
      <c r="BU20" s="59">
        <v>55310.708100000003</v>
      </c>
      <c r="BV20" s="59">
        <v>72602.195300000007</v>
      </c>
      <c r="BW20" s="59">
        <f t="shared" si="14"/>
        <v>485748.38009999989</v>
      </c>
      <c r="BX20" s="59">
        <v>49137</v>
      </c>
      <c r="BY20" s="59">
        <v>12582</v>
      </c>
      <c r="BZ20" s="59">
        <v>42150</v>
      </c>
      <c r="CA20" s="59">
        <v>83984</v>
      </c>
      <c r="CB20" s="59">
        <f t="shared" si="15"/>
        <v>187853</v>
      </c>
      <c r="CC20" s="59">
        <v>57078</v>
      </c>
      <c r="CD20" s="59">
        <v>13790</v>
      </c>
      <c r="CE20" s="59">
        <v>39909</v>
      </c>
      <c r="CF20" s="59">
        <v>102601</v>
      </c>
      <c r="CG20" s="59">
        <f t="shared" si="6"/>
        <v>213378</v>
      </c>
      <c r="CH20" s="59">
        <v>32619</v>
      </c>
      <c r="CI20" s="59">
        <v>8630</v>
      </c>
      <c r="CJ20" s="59">
        <v>33947</v>
      </c>
      <c r="CK20" s="69">
        <v>32284</v>
      </c>
      <c r="CL20" s="59">
        <f t="shared" si="7"/>
        <v>107480</v>
      </c>
      <c r="CM20" s="46">
        <v>18135.299010000002</v>
      </c>
      <c r="CN20" s="46">
        <v>17767.565319999994</v>
      </c>
      <c r="CO20" s="46">
        <v>40797.076639999985</v>
      </c>
      <c r="CP20" s="46">
        <v>21744.156460000002</v>
      </c>
      <c r="CQ20" s="59">
        <f t="shared" si="17"/>
        <v>98444.09742999998</v>
      </c>
      <c r="CR20" s="46">
        <v>16322.526269999997</v>
      </c>
      <c r="CS20" s="46">
        <v>8640.8631699999987</v>
      </c>
      <c r="CT20" s="46">
        <v>35996.052890000014</v>
      </c>
      <c r="CU20" s="46">
        <v>30632.997229999997</v>
      </c>
      <c r="CV20" s="59">
        <f t="shared" si="8"/>
        <v>91592.439559999999</v>
      </c>
      <c r="CW20" s="46">
        <v>23273.520149999993</v>
      </c>
      <c r="CX20" s="46">
        <v>8826.0396599999985</v>
      </c>
      <c r="CY20" s="46">
        <v>50936.866469999986</v>
      </c>
      <c r="CZ20" s="46">
        <v>21635.025539999999</v>
      </c>
      <c r="DA20" s="59">
        <f t="shared" si="16"/>
        <v>104671.45181999999</v>
      </c>
      <c r="DB20" s="78">
        <v>13693</v>
      </c>
      <c r="DC20" s="94">
        <v>11527</v>
      </c>
      <c r="DD20" s="94">
        <v>32683</v>
      </c>
      <c r="DE20" s="94">
        <v>24183</v>
      </c>
      <c r="DF20" s="102">
        <f>SUM(Table1[[#This Row],[JUL-SEP-20]:[APR-JUN 21]])</f>
        <v>82086</v>
      </c>
      <c r="DG20" s="83">
        <v>7249</v>
      </c>
      <c r="DH20" s="94">
        <v>31843</v>
      </c>
      <c r="DI20" s="94">
        <v>52537</v>
      </c>
      <c r="DJ20" s="94">
        <v>20367</v>
      </c>
      <c r="DK20" s="197">
        <f t="shared" si="29"/>
        <v>111996</v>
      </c>
      <c r="DL20" s="83">
        <v>11426</v>
      </c>
      <c r="DM20" s="94">
        <v>5652</v>
      </c>
      <c r="DN20" s="94">
        <v>35346</v>
      </c>
      <c r="DO20" s="94">
        <v>10147</v>
      </c>
      <c r="DP20" s="197">
        <f t="shared" si="30"/>
        <v>62571</v>
      </c>
      <c r="DQ20" s="83">
        <v>11724</v>
      </c>
      <c r="DR20" s="94">
        <v>12060</v>
      </c>
      <c r="DS20" s="94">
        <v>29937</v>
      </c>
      <c r="DT20" s="94">
        <v>15539</v>
      </c>
      <c r="DU20" s="197">
        <f t="shared" si="31"/>
        <v>69260</v>
      </c>
      <c r="DV20" s="83">
        <v>14811</v>
      </c>
      <c r="DW20" s="94">
        <v>10537</v>
      </c>
      <c r="DX20" s="94">
        <v>35047</v>
      </c>
      <c r="DY20" s="94">
        <v>0</v>
      </c>
      <c r="DZ20" s="197">
        <f t="shared" si="32"/>
        <v>60395</v>
      </c>
    </row>
    <row r="21" spans="1:130" x14ac:dyDescent="0.25">
      <c r="A21" s="49" t="s">
        <v>154</v>
      </c>
      <c r="B21" s="49" t="s">
        <v>155</v>
      </c>
      <c r="C21" s="49">
        <v>1223</v>
      </c>
      <c r="D21" s="49">
        <f t="shared" si="9"/>
        <v>0.61150000000000004</v>
      </c>
      <c r="E21" s="49">
        <v>336271</v>
      </c>
      <c r="F21" s="49">
        <v>240669</v>
      </c>
      <c r="G21" s="49">
        <v>359178</v>
      </c>
      <c r="H21" s="49">
        <f t="shared" ref="H21:H27" si="34">SUM(F21:G21)</f>
        <v>599847</v>
      </c>
      <c r="I21" s="49">
        <f t="shared" si="19"/>
        <v>228855</v>
      </c>
      <c r="J21" s="49">
        <v>35131</v>
      </c>
      <c r="K21" s="49">
        <v>193724</v>
      </c>
      <c r="L21" s="49">
        <f t="shared" si="20"/>
        <v>142698</v>
      </c>
      <c r="M21" s="49">
        <v>79060</v>
      </c>
      <c r="N21" s="49">
        <v>63638</v>
      </c>
      <c r="O21" s="49">
        <f t="shared" ref="O21:O27" si="35">SUM(J21:N21)</f>
        <v>514251</v>
      </c>
      <c r="P21" s="49">
        <v>24435</v>
      </c>
      <c r="Q21" s="49">
        <v>63611</v>
      </c>
      <c r="R21" s="49">
        <v>15753</v>
      </c>
      <c r="S21" s="49">
        <v>7473</v>
      </c>
      <c r="T21" s="49">
        <f t="shared" ref="T21:T27" si="36">SUM(P21:S21)</f>
        <v>111272</v>
      </c>
      <c r="U21" s="49">
        <v>8513</v>
      </c>
      <c r="V21" s="49">
        <v>24861</v>
      </c>
      <c r="W21" s="49">
        <v>25859</v>
      </c>
      <c r="X21" s="49">
        <v>15616</v>
      </c>
      <c r="Y21" s="49">
        <f t="shared" si="33"/>
        <v>74849</v>
      </c>
      <c r="Z21" s="49">
        <v>16370</v>
      </c>
      <c r="AA21" s="49">
        <v>42649</v>
      </c>
      <c r="AB21" s="49">
        <v>62107</v>
      </c>
      <c r="AC21" s="49">
        <v>36228</v>
      </c>
      <c r="AD21" s="49">
        <f t="shared" si="0"/>
        <v>157354</v>
      </c>
      <c r="AE21" s="49">
        <v>21008.5</v>
      </c>
      <c r="AF21" s="49">
        <v>36118.949999999997</v>
      </c>
      <c r="AG21" s="49">
        <v>36870.15</v>
      </c>
      <c r="AH21" s="49">
        <v>37838</v>
      </c>
      <c r="AI21" s="49">
        <f t="shared" si="1"/>
        <v>131835.6</v>
      </c>
      <c r="AJ21" s="49">
        <v>14102</v>
      </c>
      <c r="AK21" s="49">
        <v>11738</v>
      </c>
      <c r="AL21" s="49">
        <v>32006</v>
      </c>
      <c r="AM21" s="49">
        <v>16773</v>
      </c>
      <c r="AN21" s="49">
        <f t="shared" si="2"/>
        <v>74619</v>
      </c>
      <c r="AO21" s="49">
        <v>5517</v>
      </c>
      <c r="AP21" s="49">
        <v>33693</v>
      </c>
      <c r="AQ21" s="49">
        <v>43557</v>
      </c>
      <c r="AR21" s="49">
        <v>21435</v>
      </c>
      <c r="AS21" s="49">
        <f t="shared" si="3"/>
        <v>104202</v>
      </c>
      <c r="AT21" s="49">
        <v>20509</v>
      </c>
      <c r="AU21" s="49">
        <v>27625</v>
      </c>
      <c r="AV21" s="49">
        <v>28439</v>
      </c>
      <c r="AW21" s="49">
        <v>12602</v>
      </c>
      <c r="AX21" s="49">
        <f t="shared" si="4"/>
        <v>89175</v>
      </c>
      <c r="AY21" s="49">
        <v>6330</v>
      </c>
      <c r="AZ21" s="49">
        <v>45220</v>
      </c>
      <c r="BA21" s="49">
        <v>8597</v>
      </c>
      <c r="BB21" s="49">
        <v>6078</v>
      </c>
      <c r="BC21" s="49">
        <f t="shared" si="5"/>
        <v>66225</v>
      </c>
      <c r="BD21" s="49">
        <v>26309</v>
      </c>
      <c r="BE21" s="49">
        <v>54262</v>
      </c>
      <c r="BF21" s="49">
        <v>19981</v>
      </c>
      <c r="BG21" s="49">
        <v>12146</v>
      </c>
      <c r="BH21" s="49">
        <f t="shared" si="10"/>
        <v>112698</v>
      </c>
      <c r="BI21" s="49">
        <v>26156</v>
      </c>
      <c r="BJ21" s="49">
        <v>53568</v>
      </c>
      <c r="BK21" s="49">
        <v>33506</v>
      </c>
      <c r="BL21" s="49">
        <v>17004</v>
      </c>
      <c r="BM21" s="49">
        <f t="shared" si="11"/>
        <v>130234</v>
      </c>
      <c r="BN21" s="49">
        <f t="shared" si="12"/>
        <v>100423.79999999999</v>
      </c>
      <c r="BO21" s="49">
        <v>18170.599999999999</v>
      </c>
      <c r="BP21" s="49">
        <v>82253.2</v>
      </c>
      <c r="BQ21" s="49">
        <v>58634.6</v>
      </c>
      <c r="BR21" s="49">
        <v>26914</v>
      </c>
      <c r="BS21" s="47">
        <f t="shared" si="28"/>
        <v>185972.4</v>
      </c>
      <c r="BT21" s="49">
        <v>22163.200799999999</v>
      </c>
      <c r="BU21" s="49">
        <v>50514.756300000001</v>
      </c>
      <c r="BV21" s="49">
        <v>28777.724920000001</v>
      </c>
      <c r="BW21" s="47">
        <f t="shared" si="14"/>
        <v>314342.08201999997</v>
      </c>
      <c r="BX21" s="49">
        <v>20690</v>
      </c>
      <c r="BY21" s="49">
        <v>13135</v>
      </c>
      <c r="BZ21" s="49">
        <v>53890</v>
      </c>
      <c r="CA21" s="49">
        <v>33260</v>
      </c>
      <c r="CB21" s="47">
        <f t="shared" si="15"/>
        <v>120975</v>
      </c>
      <c r="CC21" s="49">
        <v>24806</v>
      </c>
      <c r="CD21" s="49">
        <v>12099</v>
      </c>
      <c r="CE21" s="49">
        <v>64612</v>
      </c>
      <c r="CF21" s="49">
        <v>31773</v>
      </c>
      <c r="CG21" s="47">
        <f t="shared" si="6"/>
        <v>133290</v>
      </c>
      <c r="CH21" s="49">
        <v>25875</v>
      </c>
      <c r="CI21" s="49">
        <v>15426</v>
      </c>
      <c r="CJ21" s="49">
        <v>59464</v>
      </c>
      <c r="CK21" s="70">
        <v>26708</v>
      </c>
      <c r="CL21" s="47">
        <f t="shared" si="7"/>
        <v>127473</v>
      </c>
      <c r="CM21" s="46">
        <v>11085.1255</v>
      </c>
      <c r="CN21" s="46">
        <v>24137.820800000001</v>
      </c>
      <c r="CO21" s="46">
        <v>39259.15722999999</v>
      </c>
      <c r="CP21" s="46">
        <v>26108.785310000003</v>
      </c>
      <c r="CQ21" s="47">
        <f t="shared" si="17"/>
        <v>100590.88884</v>
      </c>
      <c r="CR21" s="46">
        <v>7349.3877000000002</v>
      </c>
      <c r="CS21" s="46">
        <v>17645.90537</v>
      </c>
      <c r="CT21" s="46">
        <v>38322.115360000011</v>
      </c>
      <c r="CU21" s="46">
        <v>21438.252119999994</v>
      </c>
      <c r="CV21" s="47">
        <f t="shared" si="8"/>
        <v>84755.660550000001</v>
      </c>
      <c r="CW21" s="46">
        <v>9838.4733599999981</v>
      </c>
      <c r="CX21" s="46">
        <v>17993.353289999999</v>
      </c>
      <c r="CY21" s="46">
        <v>22760.812460000001</v>
      </c>
      <c r="CZ21" s="46">
        <v>18345.557959999998</v>
      </c>
      <c r="DA21" s="47">
        <f t="shared" si="16"/>
        <v>68938.197069999995</v>
      </c>
      <c r="DB21" s="78">
        <v>14256</v>
      </c>
      <c r="DC21" s="94">
        <v>14010</v>
      </c>
      <c r="DD21" s="94">
        <v>25237</v>
      </c>
      <c r="DE21" s="94">
        <v>33395</v>
      </c>
      <c r="DF21" s="175">
        <f>SUM(Table1[[#This Row],[JUL-SEP-20]:[APR-JUN 21]])</f>
        <v>86898</v>
      </c>
      <c r="DG21" s="83">
        <v>13071</v>
      </c>
      <c r="DH21" s="94">
        <v>12529</v>
      </c>
      <c r="DI21" s="94">
        <v>40901</v>
      </c>
      <c r="DJ21" s="94">
        <v>13931</v>
      </c>
      <c r="DK21" s="175">
        <f t="shared" si="29"/>
        <v>80432</v>
      </c>
      <c r="DL21" s="83">
        <v>16538</v>
      </c>
      <c r="DM21" s="94">
        <v>14388</v>
      </c>
      <c r="DN21" s="94">
        <v>35163</v>
      </c>
      <c r="DO21" s="94">
        <v>14117</v>
      </c>
      <c r="DP21" s="175">
        <f t="shared" si="30"/>
        <v>80206</v>
      </c>
      <c r="DQ21" s="83">
        <v>16357</v>
      </c>
      <c r="DR21" s="94">
        <v>26496</v>
      </c>
      <c r="DS21" s="94">
        <v>56508</v>
      </c>
      <c r="DT21" s="94">
        <v>14680</v>
      </c>
      <c r="DU21" s="175">
        <f t="shared" si="31"/>
        <v>114041</v>
      </c>
      <c r="DV21" s="83">
        <v>21528</v>
      </c>
      <c r="DW21" s="94">
        <v>8439</v>
      </c>
      <c r="DX21" s="94">
        <v>35634</v>
      </c>
      <c r="DY21" s="94">
        <v>0</v>
      </c>
      <c r="DZ21" s="175">
        <f t="shared" si="32"/>
        <v>65601</v>
      </c>
    </row>
    <row r="22" spans="1:130" x14ac:dyDescent="0.25">
      <c r="A22" s="59" t="s">
        <v>156</v>
      </c>
      <c r="B22" s="59" t="s">
        <v>157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>
        <v>129574</v>
      </c>
      <c r="Z22" s="59"/>
      <c r="AA22" s="59"/>
      <c r="AB22" s="59"/>
      <c r="AC22" s="59"/>
      <c r="AD22" s="59">
        <v>386151</v>
      </c>
      <c r="AE22" s="59"/>
      <c r="AF22" s="59"/>
      <c r="AG22" s="59"/>
      <c r="AH22" s="59"/>
      <c r="AI22" s="59">
        <v>570394</v>
      </c>
      <c r="AJ22" s="59"/>
      <c r="AK22" s="59"/>
      <c r="AL22" s="59"/>
      <c r="AM22" s="59"/>
      <c r="AN22" s="59">
        <v>562805</v>
      </c>
      <c r="AO22" s="59">
        <v>181929</v>
      </c>
      <c r="AP22" s="59">
        <v>212035</v>
      </c>
      <c r="AQ22" s="59">
        <v>150103</v>
      </c>
      <c r="AR22" s="59">
        <v>47578</v>
      </c>
      <c r="AS22" s="59">
        <f>SUM(AO22:AR22)</f>
        <v>591645</v>
      </c>
      <c r="AT22" s="59">
        <v>238876</v>
      </c>
      <c r="AU22" s="59">
        <v>252325</v>
      </c>
      <c r="AV22" s="59">
        <v>79604</v>
      </c>
      <c r="AW22" s="59">
        <v>42110</v>
      </c>
      <c r="AX22" s="59">
        <f t="shared" si="4"/>
        <v>612915</v>
      </c>
      <c r="AY22" s="59">
        <v>161887</v>
      </c>
      <c r="AZ22" s="59">
        <v>234291.8</v>
      </c>
      <c r="BA22" s="59">
        <v>98906</v>
      </c>
      <c r="BB22" s="59">
        <v>36109.199999999997</v>
      </c>
      <c r="BC22" s="59">
        <f t="shared" si="5"/>
        <v>531194</v>
      </c>
      <c r="BD22" s="59">
        <v>276911</v>
      </c>
      <c r="BE22" s="59">
        <v>245625</v>
      </c>
      <c r="BF22" s="59">
        <v>68099</v>
      </c>
      <c r="BG22" s="59">
        <v>94784.2</v>
      </c>
      <c r="BH22" s="59">
        <f t="shared" si="10"/>
        <v>685419.2</v>
      </c>
      <c r="BI22" s="59">
        <v>227341.6</v>
      </c>
      <c r="BJ22" s="59">
        <v>208667</v>
      </c>
      <c r="BK22" s="59">
        <v>78815</v>
      </c>
      <c r="BL22" s="59">
        <v>10187</v>
      </c>
      <c r="BM22" s="59">
        <f t="shared" si="11"/>
        <v>525010.6</v>
      </c>
      <c r="BN22" s="59">
        <f t="shared" si="12"/>
        <v>402935.2</v>
      </c>
      <c r="BO22" s="59">
        <v>212269</v>
      </c>
      <c r="BP22" s="59">
        <v>190666.2</v>
      </c>
      <c r="BQ22" s="59">
        <v>78076.399999999994</v>
      </c>
      <c r="BR22" s="59">
        <v>21630</v>
      </c>
      <c r="BS22" s="59">
        <f t="shared" si="28"/>
        <v>502641.6</v>
      </c>
      <c r="BT22" s="59">
        <v>266382.40950000001</v>
      </c>
      <c r="BU22" s="59">
        <v>293656.81780000002</v>
      </c>
      <c r="BV22" s="59">
        <v>64878.618499999997</v>
      </c>
      <c r="BW22" s="59">
        <f t="shared" si="14"/>
        <v>1149189.4458000001</v>
      </c>
      <c r="BX22" s="59">
        <v>16760</v>
      </c>
      <c r="BY22" s="59">
        <v>141349</v>
      </c>
      <c r="BZ22" s="59">
        <v>73206</v>
      </c>
      <c r="CA22" s="59">
        <v>28568</v>
      </c>
      <c r="CB22" s="59">
        <f t="shared" si="15"/>
        <v>259883</v>
      </c>
      <c r="CC22" s="59">
        <v>987</v>
      </c>
      <c r="CD22" s="59">
        <v>156143</v>
      </c>
      <c r="CE22" s="59">
        <v>94304</v>
      </c>
      <c r="CF22" s="59">
        <v>31187</v>
      </c>
      <c r="CG22" s="59">
        <f t="shared" si="6"/>
        <v>282621</v>
      </c>
      <c r="CH22" s="59">
        <v>5046</v>
      </c>
      <c r="CI22" s="59">
        <v>121260</v>
      </c>
      <c r="CJ22" s="59">
        <v>60200</v>
      </c>
      <c r="CK22" s="69">
        <v>20660</v>
      </c>
      <c r="CL22" s="59">
        <f t="shared" si="7"/>
        <v>207166</v>
      </c>
      <c r="CM22" s="46">
        <v>3740.94</v>
      </c>
      <c r="CN22" s="46">
        <v>160264.82819999999</v>
      </c>
      <c r="CO22" s="46">
        <v>103273.82999999999</v>
      </c>
      <c r="CP22" s="46">
        <v>28352.082000000006</v>
      </c>
      <c r="CQ22" s="59">
        <f t="shared" si="17"/>
        <v>295631.6802</v>
      </c>
      <c r="CR22" s="46">
        <v>10510.441000000001</v>
      </c>
      <c r="CS22" s="46">
        <v>122042.47319999999</v>
      </c>
      <c r="CT22" s="46">
        <v>168988.46679999997</v>
      </c>
      <c r="CU22" s="46">
        <v>38819.883000000009</v>
      </c>
      <c r="CV22" s="59">
        <f t="shared" si="8"/>
        <v>340361.26399999997</v>
      </c>
      <c r="CW22" s="46">
        <v>1535.826</v>
      </c>
      <c r="CX22" s="46">
        <v>94429.0429</v>
      </c>
      <c r="CY22" s="46">
        <v>156368.88040000002</v>
      </c>
      <c r="CZ22" s="46">
        <v>57657.239399999999</v>
      </c>
      <c r="DA22" s="59">
        <f t="shared" si="16"/>
        <v>309990.98870000005</v>
      </c>
      <c r="DB22" s="80">
        <v>34667</v>
      </c>
      <c r="DC22" s="94">
        <v>125997</v>
      </c>
      <c r="DD22" s="94">
        <v>108793</v>
      </c>
      <c r="DE22" s="94">
        <v>58124</v>
      </c>
      <c r="DF22" s="102">
        <f>SUM(Table1[[#This Row],[JUL-SEP-20]:[APR-JUN 21]])</f>
        <v>327581</v>
      </c>
      <c r="DG22" s="194">
        <v>40367</v>
      </c>
      <c r="DH22" s="94">
        <v>147520</v>
      </c>
      <c r="DI22" s="94">
        <v>96977</v>
      </c>
      <c r="DJ22" s="94">
        <v>5378</v>
      </c>
      <c r="DK22" s="197">
        <f t="shared" si="29"/>
        <v>290242</v>
      </c>
      <c r="DL22" s="194">
        <v>10659</v>
      </c>
      <c r="DM22" s="94">
        <v>26896</v>
      </c>
      <c r="DN22" s="94">
        <v>24878</v>
      </c>
      <c r="DO22" s="94">
        <v>6333</v>
      </c>
      <c r="DP22" s="197">
        <f t="shared" si="30"/>
        <v>68766</v>
      </c>
      <c r="DQ22" s="194">
        <v>3686</v>
      </c>
      <c r="DR22" s="94">
        <v>46619</v>
      </c>
      <c r="DS22" s="94">
        <v>31918</v>
      </c>
      <c r="DT22" s="94">
        <v>11250</v>
      </c>
      <c r="DU22" s="197">
        <f t="shared" si="31"/>
        <v>93473</v>
      </c>
      <c r="DV22" s="194">
        <v>1757</v>
      </c>
      <c r="DW22" s="94">
        <v>43971</v>
      </c>
      <c r="DX22" s="94">
        <v>66000</v>
      </c>
      <c r="DY22" s="94">
        <v>0</v>
      </c>
      <c r="DZ22" s="197">
        <f t="shared" si="32"/>
        <v>111728</v>
      </c>
    </row>
    <row r="23" spans="1:130" x14ac:dyDescent="0.25">
      <c r="A23" s="49" t="s">
        <v>158</v>
      </c>
      <c r="B23" s="49" t="s">
        <v>159</v>
      </c>
      <c r="C23" s="49">
        <v>1750</v>
      </c>
      <c r="D23" s="49">
        <f t="shared" si="9"/>
        <v>0.875</v>
      </c>
      <c r="E23" s="49">
        <v>499880</v>
      </c>
      <c r="F23" s="49">
        <v>263651</v>
      </c>
      <c r="G23" s="49">
        <v>57627</v>
      </c>
      <c r="H23" s="49">
        <f t="shared" si="34"/>
        <v>321278</v>
      </c>
      <c r="I23" s="49">
        <f t="shared" si="19"/>
        <v>236590</v>
      </c>
      <c r="J23" s="49">
        <v>111972</v>
      </c>
      <c r="K23" s="49">
        <v>124618</v>
      </c>
      <c r="L23" s="49">
        <f t="shared" si="20"/>
        <v>108292</v>
      </c>
      <c r="M23" s="49">
        <v>81063</v>
      </c>
      <c r="N23" s="49">
        <v>27229</v>
      </c>
      <c r="O23" s="49">
        <f t="shared" si="35"/>
        <v>453174</v>
      </c>
      <c r="P23" s="49">
        <v>214743</v>
      </c>
      <c r="Q23" s="49">
        <v>202947</v>
      </c>
      <c r="R23" s="49">
        <v>82105</v>
      </c>
      <c r="S23" s="49">
        <v>25508.5</v>
      </c>
      <c r="T23" s="49">
        <f t="shared" si="36"/>
        <v>525303.5</v>
      </c>
      <c r="U23" s="49">
        <v>167508</v>
      </c>
      <c r="V23" s="49">
        <v>202802</v>
      </c>
      <c r="W23" s="49">
        <v>100550</v>
      </c>
      <c r="X23" s="49">
        <v>24709</v>
      </c>
      <c r="Y23" s="49">
        <f t="shared" si="33"/>
        <v>495569</v>
      </c>
      <c r="Z23" s="49">
        <v>167649</v>
      </c>
      <c r="AA23" s="49">
        <v>171216</v>
      </c>
      <c r="AB23" s="49">
        <v>89547</v>
      </c>
      <c r="AC23" s="49">
        <v>27177</v>
      </c>
      <c r="AD23" s="49">
        <f t="shared" si="0"/>
        <v>455589</v>
      </c>
      <c r="AE23" s="49">
        <v>202600</v>
      </c>
      <c r="AF23" s="49">
        <v>254477.6</v>
      </c>
      <c r="AG23" s="49">
        <v>88626</v>
      </c>
      <c r="AH23" s="49">
        <v>39455</v>
      </c>
      <c r="AI23" s="49">
        <f t="shared" si="1"/>
        <v>585158.6</v>
      </c>
      <c r="AJ23" s="49">
        <v>258340</v>
      </c>
      <c r="AK23" s="49">
        <v>233832</v>
      </c>
      <c r="AL23" s="49">
        <v>62991</v>
      </c>
      <c r="AM23" s="49">
        <v>26878</v>
      </c>
      <c r="AN23" s="49">
        <f t="shared" si="2"/>
        <v>582041</v>
      </c>
      <c r="AO23" s="49">
        <v>275932</v>
      </c>
      <c r="AP23" s="49">
        <v>194211</v>
      </c>
      <c r="AQ23" s="49">
        <v>36200</v>
      </c>
      <c r="AR23" s="49">
        <v>52854</v>
      </c>
      <c r="AS23" s="49">
        <f t="shared" si="3"/>
        <v>559197</v>
      </c>
      <c r="AT23" s="49">
        <v>263162</v>
      </c>
      <c r="AU23" s="49">
        <v>229519</v>
      </c>
      <c r="AV23" s="49">
        <v>131979</v>
      </c>
      <c r="AW23" s="49">
        <v>249140</v>
      </c>
      <c r="AX23" s="49">
        <f t="shared" si="4"/>
        <v>873800</v>
      </c>
      <c r="AY23" s="49">
        <v>424336.95</v>
      </c>
      <c r="AZ23" s="49">
        <v>829851</v>
      </c>
      <c r="BA23" s="49">
        <v>219570</v>
      </c>
      <c r="BB23" s="49">
        <v>233795.1</v>
      </c>
      <c r="BC23" s="49">
        <f t="shared" si="5"/>
        <v>1707553.05</v>
      </c>
      <c r="BD23" s="49">
        <v>453769</v>
      </c>
      <c r="BE23" s="49">
        <v>899740</v>
      </c>
      <c r="BF23" s="49">
        <v>287784</v>
      </c>
      <c r="BG23" s="49">
        <v>367128</v>
      </c>
      <c r="BH23" s="49">
        <f t="shared" si="10"/>
        <v>2008421</v>
      </c>
      <c r="BI23" s="49">
        <v>907157</v>
      </c>
      <c r="BJ23" s="49">
        <v>988103</v>
      </c>
      <c r="BK23" s="49">
        <v>245578</v>
      </c>
      <c r="BL23" s="49">
        <v>119042</v>
      </c>
      <c r="BM23" s="49">
        <f t="shared" si="11"/>
        <v>2259880</v>
      </c>
      <c r="BN23" s="49">
        <f t="shared" si="12"/>
        <v>1538522.65</v>
      </c>
      <c r="BO23" s="49">
        <v>569314.15</v>
      </c>
      <c r="BP23" s="49">
        <v>969208.5</v>
      </c>
      <c r="BQ23" s="49">
        <v>476485.3</v>
      </c>
      <c r="BR23" s="49">
        <v>232788.8</v>
      </c>
      <c r="BS23" s="47">
        <f t="shared" si="28"/>
        <v>2247796.75</v>
      </c>
      <c r="BT23" s="49">
        <v>555287.27067</v>
      </c>
      <c r="BU23" s="49">
        <v>506319.09259999997</v>
      </c>
      <c r="BV23" s="49">
        <v>206836.26431</v>
      </c>
      <c r="BW23" s="47">
        <f t="shared" si="14"/>
        <v>3749028.1775799999</v>
      </c>
      <c r="BX23" s="49">
        <v>57269</v>
      </c>
      <c r="BY23" s="49">
        <v>366723</v>
      </c>
      <c r="BZ23" s="49">
        <v>405182</v>
      </c>
      <c r="CA23" s="49">
        <v>366541</v>
      </c>
      <c r="CB23" s="47">
        <f t="shared" si="15"/>
        <v>1195715</v>
      </c>
      <c r="CC23" s="49">
        <v>58940</v>
      </c>
      <c r="CD23" s="49">
        <v>319693</v>
      </c>
      <c r="CE23" s="49">
        <v>319035</v>
      </c>
      <c r="CF23" s="49">
        <v>190920</v>
      </c>
      <c r="CG23" s="47">
        <f t="shared" si="6"/>
        <v>888588</v>
      </c>
      <c r="CH23" s="49">
        <v>68929</v>
      </c>
      <c r="CI23" s="49">
        <v>314069</v>
      </c>
      <c r="CJ23" s="49">
        <v>199042</v>
      </c>
      <c r="CK23" s="70">
        <v>132367</v>
      </c>
      <c r="CL23" s="47">
        <f t="shared" si="7"/>
        <v>714407</v>
      </c>
      <c r="CM23" s="46">
        <v>57994.437380000003</v>
      </c>
      <c r="CN23" s="46">
        <v>306702.37819000002</v>
      </c>
      <c r="CO23" s="46">
        <v>245220.84706</v>
      </c>
      <c r="CP23" s="46">
        <v>87832.230979999993</v>
      </c>
      <c r="CQ23" s="47">
        <f t="shared" si="17"/>
        <v>697749.89361000003</v>
      </c>
      <c r="CR23" s="46">
        <v>51605.781159999999</v>
      </c>
      <c r="CS23" s="46">
        <v>312917.96610000002</v>
      </c>
      <c r="CT23" s="46">
        <v>263369.69822999998</v>
      </c>
      <c r="CU23" s="46">
        <v>73673.372000000003</v>
      </c>
      <c r="CV23" s="47">
        <f t="shared" si="8"/>
        <v>701566.81749000004</v>
      </c>
      <c r="CW23" s="46">
        <v>225852.12469999999</v>
      </c>
      <c r="CX23" s="46">
        <v>356975.51783999999</v>
      </c>
      <c r="CY23" s="46">
        <v>267450.20640000002</v>
      </c>
      <c r="CZ23" s="46">
        <v>368642.15380000003</v>
      </c>
      <c r="DA23" s="47">
        <f t="shared" si="16"/>
        <v>1218920.0027399999</v>
      </c>
      <c r="DB23" s="78">
        <v>42954</v>
      </c>
      <c r="DC23" s="94">
        <v>264164</v>
      </c>
      <c r="DD23" s="94">
        <v>262331</v>
      </c>
      <c r="DE23" s="94">
        <v>126439</v>
      </c>
      <c r="DF23" s="175">
        <f>SUM(Table1[[#This Row],[JUL-SEP-20]:[APR-JUN 21]])</f>
        <v>695888</v>
      </c>
      <c r="DG23" s="78">
        <v>96886</v>
      </c>
      <c r="DH23" s="94">
        <v>389213</v>
      </c>
      <c r="DI23" s="94">
        <v>298965</v>
      </c>
      <c r="DJ23" s="94">
        <v>255944</v>
      </c>
      <c r="DK23" s="175">
        <f t="shared" si="29"/>
        <v>1041008</v>
      </c>
      <c r="DL23" s="78">
        <v>119969</v>
      </c>
      <c r="DM23" s="94">
        <v>332391</v>
      </c>
      <c r="DN23" s="94">
        <v>268949</v>
      </c>
      <c r="DO23" s="94">
        <v>173907</v>
      </c>
      <c r="DP23" s="175">
        <f t="shared" si="30"/>
        <v>895216</v>
      </c>
      <c r="DQ23" s="78">
        <v>107123</v>
      </c>
      <c r="DR23" s="94">
        <v>331765</v>
      </c>
      <c r="DS23" s="225">
        <v>371544</v>
      </c>
      <c r="DT23" s="94">
        <v>133949</v>
      </c>
      <c r="DU23" s="175">
        <f t="shared" si="31"/>
        <v>944381</v>
      </c>
      <c r="DV23" s="78">
        <v>71933</v>
      </c>
      <c r="DW23" s="94">
        <v>452124</v>
      </c>
      <c r="DX23" s="225">
        <v>402074</v>
      </c>
      <c r="DY23" s="94">
        <v>0</v>
      </c>
      <c r="DZ23" s="175">
        <f t="shared" si="32"/>
        <v>926131</v>
      </c>
    </row>
    <row r="24" spans="1:130" x14ac:dyDescent="0.25">
      <c r="A24" s="59" t="s">
        <v>160</v>
      </c>
      <c r="B24" s="59" t="s">
        <v>161</v>
      </c>
      <c r="C24" s="59">
        <v>246</v>
      </c>
      <c r="D24" s="59">
        <f t="shared" si="9"/>
        <v>0.123</v>
      </c>
      <c r="E24" s="59">
        <v>573712</v>
      </c>
      <c r="F24" s="59">
        <v>269669</v>
      </c>
      <c r="G24" s="59">
        <v>387685</v>
      </c>
      <c r="H24" s="59">
        <f t="shared" si="34"/>
        <v>657354</v>
      </c>
      <c r="I24" s="59">
        <f t="shared" si="19"/>
        <v>334711</v>
      </c>
      <c r="J24" s="59">
        <v>155731</v>
      </c>
      <c r="K24" s="59">
        <v>178980</v>
      </c>
      <c r="L24" s="59">
        <f t="shared" si="20"/>
        <v>410780</v>
      </c>
      <c r="M24" s="59">
        <v>344036</v>
      </c>
      <c r="N24" s="59">
        <v>66744</v>
      </c>
      <c r="O24" s="59">
        <f t="shared" si="35"/>
        <v>1156271</v>
      </c>
      <c r="P24" s="59">
        <v>121606</v>
      </c>
      <c r="Q24" s="59">
        <v>254952</v>
      </c>
      <c r="R24" s="59">
        <v>603199</v>
      </c>
      <c r="S24" s="59">
        <v>44120</v>
      </c>
      <c r="T24" s="59">
        <f t="shared" si="36"/>
        <v>1023877</v>
      </c>
      <c r="U24" s="59">
        <v>160176</v>
      </c>
      <c r="V24" s="59">
        <v>389457</v>
      </c>
      <c r="W24" s="59">
        <v>456123</v>
      </c>
      <c r="X24" s="59">
        <v>41213</v>
      </c>
      <c r="Y24" s="59">
        <f t="shared" si="33"/>
        <v>1046969</v>
      </c>
      <c r="Z24" s="59">
        <v>242709</v>
      </c>
      <c r="AA24" s="59">
        <v>295849</v>
      </c>
      <c r="AB24" s="59">
        <v>545711</v>
      </c>
      <c r="AC24" s="59">
        <v>54214</v>
      </c>
      <c r="AD24" s="59">
        <f t="shared" si="0"/>
        <v>1138483</v>
      </c>
      <c r="AE24" s="59">
        <v>336269</v>
      </c>
      <c r="AF24" s="59">
        <v>633584.01</v>
      </c>
      <c r="AG24" s="59">
        <v>364998.99</v>
      </c>
      <c r="AH24" s="59">
        <v>50287</v>
      </c>
      <c r="AI24" s="59">
        <f t="shared" si="1"/>
        <v>1385139</v>
      </c>
      <c r="AJ24" s="59">
        <v>523547</v>
      </c>
      <c r="AK24" s="59">
        <v>586701</v>
      </c>
      <c r="AL24" s="59">
        <v>442778</v>
      </c>
      <c r="AM24" s="59">
        <v>42886</v>
      </c>
      <c r="AN24" s="59">
        <f t="shared" si="2"/>
        <v>1595912</v>
      </c>
      <c r="AO24" s="59">
        <v>650234</v>
      </c>
      <c r="AP24" s="59">
        <v>633453</v>
      </c>
      <c r="AQ24" s="59">
        <v>458026</v>
      </c>
      <c r="AR24" s="59">
        <v>92127</v>
      </c>
      <c r="AS24" s="59">
        <f t="shared" si="3"/>
        <v>1833840</v>
      </c>
      <c r="AT24" s="59">
        <v>709834</v>
      </c>
      <c r="AU24" s="59">
        <v>634499</v>
      </c>
      <c r="AV24" s="59">
        <v>390197</v>
      </c>
      <c r="AW24" s="59">
        <v>132492</v>
      </c>
      <c r="AX24" s="59">
        <f t="shared" si="4"/>
        <v>1867022</v>
      </c>
      <c r="AY24" s="59">
        <v>714566</v>
      </c>
      <c r="AZ24" s="59">
        <v>602998</v>
      </c>
      <c r="BA24" s="59">
        <v>403923</v>
      </c>
      <c r="BB24" s="59">
        <v>75560</v>
      </c>
      <c r="BC24" s="59">
        <f t="shared" si="5"/>
        <v>1797047</v>
      </c>
      <c r="BD24" s="59">
        <v>764622</v>
      </c>
      <c r="BE24" s="59">
        <v>763496</v>
      </c>
      <c r="BF24" s="59">
        <v>241788</v>
      </c>
      <c r="BG24" s="59">
        <v>39485</v>
      </c>
      <c r="BH24" s="59">
        <f t="shared" si="10"/>
        <v>1809391</v>
      </c>
      <c r="BI24" s="59">
        <v>867611</v>
      </c>
      <c r="BJ24" s="59">
        <v>628325</v>
      </c>
      <c r="BK24" s="59">
        <v>258481</v>
      </c>
      <c r="BL24" s="59">
        <v>96246</v>
      </c>
      <c r="BM24" s="59">
        <f t="shared" si="11"/>
        <v>1850663</v>
      </c>
      <c r="BN24" s="59">
        <f t="shared" si="12"/>
        <v>1251704</v>
      </c>
      <c r="BO24" s="59">
        <v>667875</v>
      </c>
      <c r="BP24" s="59">
        <v>583829</v>
      </c>
      <c r="BQ24" s="59">
        <v>368132</v>
      </c>
      <c r="BR24" s="59">
        <v>55419</v>
      </c>
      <c r="BS24" s="59">
        <f t="shared" si="28"/>
        <v>1675255</v>
      </c>
      <c r="BT24" s="59">
        <v>657329.9939</v>
      </c>
      <c r="BU24" s="59">
        <v>508566.79399999999</v>
      </c>
      <c r="BV24" s="59">
        <v>345200.99670000002</v>
      </c>
      <c r="BW24" s="59">
        <f t="shared" si="14"/>
        <v>3241771.7845999999</v>
      </c>
      <c r="BX24" s="59">
        <v>25467</v>
      </c>
      <c r="BY24" s="59">
        <v>491523</v>
      </c>
      <c r="BZ24" s="59">
        <v>384402</v>
      </c>
      <c r="CA24" s="59">
        <v>298496</v>
      </c>
      <c r="CB24" s="59">
        <f t="shared" si="15"/>
        <v>1199888</v>
      </c>
      <c r="CC24" s="59">
        <v>79995</v>
      </c>
      <c r="CD24" s="59">
        <v>560525</v>
      </c>
      <c r="CE24" s="59">
        <v>413718</v>
      </c>
      <c r="CF24" s="59">
        <v>240010</v>
      </c>
      <c r="CG24" s="59">
        <f t="shared" si="6"/>
        <v>1294248</v>
      </c>
      <c r="CH24" s="59">
        <v>30224</v>
      </c>
      <c r="CI24" s="59">
        <v>463996</v>
      </c>
      <c r="CJ24" s="59">
        <v>345507</v>
      </c>
      <c r="CK24" s="69">
        <v>170309</v>
      </c>
      <c r="CL24" s="59">
        <f t="shared" si="7"/>
        <v>1010036</v>
      </c>
      <c r="CM24" s="46">
        <v>43916</v>
      </c>
      <c r="CN24" s="46">
        <v>459004</v>
      </c>
      <c r="CO24" s="46">
        <v>309506.52841999999</v>
      </c>
      <c r="CP24" s="46">
        <v>207766.47966000001</v>
      </c>
      <c r="CQ24" s="59">
        <f t="shared" si="17"/>
        <v>1020193.0080800001</v>
      </c>
      <c r="CR24" s="46">
        <v>50000</v>
      </c>
      <c r="CS24" s="46">
        <v>338963.42272000003</v>
      </c>
      <c r="CT24" s="46">
        <v>337445.17086000001</v>
      </c>
      <c r="CU24" s="46">
        <v>174476.40642000001</v>
      </c>
      <c r="CV24" s="59">
        <f>SUM(CR24:CU24)</f>
        <v>900885.00000000012</v>
      </c>
      <c r="CW24" s="46">
        <v>43942.491000000002</v>
      </c>
      <c r="CX24" s="46">
        <v>355124.49926000001</v>
      </c>
      <c r="CY24" s="46">
        <v>383407.47966000001</v>
      </c>
      <c r="CZ24" s="46">
        <v>220106.76256</v>
      </c>
      <c r="DA24" s="59">
        <f t="shared" si="16"/>
        <v>1002581.23248</v>
      </c>
      <c r="DB24" s="78">
        <v>19462</v>
      </c>
      <c r="DC24" s="94">
        <v>361690</v>
      </c>
      <c r="DD24" s="94">
        <v>369965</v>
      </c>
      <c r="DE24" s="94">
        <v>205953</v>
      </c>
      <c r="DF24" s="102">
        <f>SUM(Table1[[#This Row],[JUL-SEP-20]:[APR-JUN 21]])</f>
        <v>957070</v>
      </c>
      <c r="DG24" s="78">
        <v>27452</v>
      </c>
      <c r="DH24" s="94">
        <v>314928</v>
      </c>
      <c r="DI24" s="94">
        <v>319734</v>
      </c>
      <c r="DJ24" s="94">
        <v>185007</v>
      </c>
      <c r="DK24" s="197">
        <f t="shared" si="29"/>
        <v>847121</v>
      </c>
      <c r="DL24" s="78">
        <v>35168</v>
      </c>
      <c r="DM24" s="94">
        <v>310012</v>
      </c>
      <c r="DN24" s="94">
        <v>245008</v>
      </c>
      <c r="DO24" s="94">
        <v>215015</v>
      </c>
      <c r="DP24" s="197">
        <f t="shared" si="30"/>
        <v>805203</v>
      </c>
      <c r="DQ24" s="78">
        <v>15010</v>
      </c>
      <c r="DR24" s="94">
        <v>429237</v>
      </c>
      <c r="DS24" s="225">
        <v>370492</v>
      </c>
      <c r="DT24" s="94">
        <v>205025</v>
      </c>
      <c r="DU24" s="197">
        <f t="shared" si="31"/>
        <v>1019764</v>
      </c>
      <c r="DV24" s="78">
        <v>30092</v>
      </c>
      <c r="DW24" s="94">
        <v>381439</v>
      </c>
      <c r="DX24" s="225">
        <v>360315</v>
      </c>
      <c r="DY24" s="94">
        <v>0</v>
      </c>
      <c r="DZ24" s="197">
        <f t="shared" si="32"/>
        <v>771846</v>
      </c>
    </row>
    <row r="25" spans="1:130" x14ac:dyDescent="0.25">
      <c r="A25" s="49" t="s">
        <v>162</v>
      </c>
      <c r="B25" s="49" t="s">
        <v>163</v>
      </c>
      <c r="C25" s="49">
        <v>1018</v>
      </c>
      <c r="D25" s="49">
        <f t="shared" si="9"/>
        <v>0.50900000000000001</v>
      </c>
      <c r="E25" s="49">
        <v>1435439</v>
      </c>
      <c r="F25" s="49">
        <v>1211895</v>
      </c>
      <c r="G25" s="49">
        <v>185535</v>
      </c>
      <c r="H25" s="49">
        <f t="shared" si="34"/>
        <v>1397430</v>
      </c>
      <c r="I25" s="49">
        <f t="shared" si="19"/>
        <v>1393099</v>
      </c>
      <c r="J25" s="49">
        <v>676727</v>
      </c>
      <c r="K25" s="49">
        <v>716372</v>
      </c>
      <c r="L25" s="49">
        <f t="shared" si="20"/>
        <v>230774</v>
      </c>
      <c r="M25" s="49">
        <v>135306</v>
      </c>
      <c r="N25" s="49">
        <v>95468</v>
      </c>
      <c r="O25" s="49">
        <f t="shared" si="35"/>
        <v>1854647</v>
      </c>
      <c r="P25" s="49">
        <v>815497</v>
      </c>
      <c r="Q25" s="49">
        <v>786631</v>
      </c>
      <c r="R25" s="49">
        <v>193360</v>
      </c>
      <c r="S25" s="49">
        <v>97387</v>
      </c>
      <c r="T25" s="49">
        <f t="shared" si="36"/>
        <v>1892875</v>
      </c>
      <c r="U25" s="49">
        <v>789348</v>
      </c>
      <c r="V25" s="49">
        <v>725872</v>
      </c>
      <c r="W25" s="49">
        <v>199008</v>
      </c>
      <c r="X25" s="49">
        <v>115469</v>
      </c>
      <c r="Y25" s="49">
        <f t="shared" si="33"/>
        <v>1829697</v>
      </c>
      <c r="Z25" s="49">
        <v>553052</v>
      </c>
      <c r="AA25" s="49">
        <v>805998</v>
      </c>
      <c r="AB25" s="49">
        <v>199078</v>
      </c>
      <c r="AC25" s="49">
        <v>61165</v>
      </c>
      <c r="AD25" s="49">
        <f t="shared" si="0"/>
        <v>1619293</v>
      </c>
      <c r="AE25" s="49">
        <v>464648</v>
      </c>
      <c r="AF25" s="49">
        <v>700712</v>
      </c>
      <c r="AG25" s="49">
        <v>271757</v>
      </c>
      <c r="AH25" s="49">
        <v>52796</v>
      </c>
      <c r="AI25" s="49">
        <f t="shared" si="1"/>
        <v>1489913</v>
      </c>
      <c r="AJ25" s="49">
        <v>467930</v>
      </c>
      <c r="AK25" s="49">
        <v>624716</v>
      </c>
      <c r="AL25" s="49">
        <v>191744</v>
      </c>
      <c r="AM25" s="49">
        <v>37651</v>
      </c>
      <c r="AN25" s="49">
        <f t="shared" si="2"/>
        <v>1322041</v>
      </c>
      <c r="AO25" s="49">
        <v>368825</v>
      </c>
      <c r="AP25" s="49">
        <v>502237</v>
      </c>
      <c r="AQ25" s="49">
        <v>176223</v>
      </c>
      <c r="AR25" s="49">
        <v>36577</v>
      </c>
      <c r="AS25" s="49">
        <f t="shared" si="3"/>
        <v>1083862</v>
      </c>
      <c r="AT25" s="49">
        <v>589866</v>
      </c>
      <c r="AU25" s="49">
        <v>667141</v>
      </c>
      <c r="AV25" s="49">
        <v>253769</v>
      </c>
      <c r="AW25" s="49">
        <v>91208</v>
      </c>
      <c r="AX25" s="49">
        <f t="shared" si="4"/>
        <v>1601984</v>
      </c>
      <c r="AY25" s="49">
        <v>614518</v>
      </c>
      <c r="AZ25" s="49">
        <v>735162</v>
      </c>
      <c r="BA25" s="49">
        <v>431703</v>
      </c>
      <c r="BB25" s="49">
        <v>92708</v>
      </c>
      <c r="BC25" s="49">
        <f t="shared" si="5"/>
        <v>1874091</v>
      </c>
      <c r="BD25" s="49">
        <v>652944</v>
      </c>
      <c r="BE25" s="49">
        <v>844317</v>
      </c>
      <c r="BF25" s="49">
        <v>323104</v>
      </c>
      <c r="BG25" s="49">
        <v>61418</v>
      </c>
      <c r="BH25" s="49">
        <f t="shared" si="10"/>
        <v>1881783</v>
      </c>
      <c r="BI25" s="49">
        <v>1165022</v>
      </c>
      <c r="BJ25" s="49">
        <v>694176</v>
      </c>
      <c r="BK25" s="49">
        <v>217101</v>
      </c>
      <c r="BL25" s="49">
        <v>69857</v>
      </c>
      <c r="BM25" s="49">
        <f t="shared" si="11"/>
        <v>2146156</v>
      </c>
      <c r="BN25" s="49">
        <f t="shared" si="12"/>
        <v>1360127</v>
      </c>
      <c r="BO25" s="49">
        <v>669110</v>
      </c>
      <c r="BP25" s="49">
        <v>691017</v>
      </c>
      <c r="BQ25" s="49">
        <v>363486</v>
      </c>
      <c r="BR25" s="49">
        <v>66448</v>
      </c>
      <c r="BS25" s="47">
        <f t="shared" si="28"/>
        <v>1790061</v>
      </c>
      <c r="BT25" s="49">
        <v>697034.42845000001</v>
      </c>
      <c r="BU25" s="49">
        <v>581321.00520000001</v>
      </c>
      <c r="BV25" s="49">
        <v>298307.87949999998</v>
      </c>
      <c r="BW25" s="47">
        <f t="shared" si="14"/>
        <v>3433172.3131499998</v>
      </c>
      <c r="BX25" s="49">
        <v>61893</v>
      </c>
      <c r="BY25" s="49">
        <v>500297</v>
      </c>
      <c r="BZ25" s="49">
        <v>399788</v>
      </c>
      <c r="CA25" s="49">
        <v>260426</v>
      </c>
      <c r="CB25" s="47">
        <f t="shared" si="15"/>
        <v>1222404</v>
      </c>
      <c r="CC25" s="49">
        <v>30419</v>
      </c>
      <c r="CD25" s="49">
        <v>559084</v>
      </c>
      <c r="CE25" s="49">
        <v>467288</v>
      </c>
      <c r="CF25" s="49">
        <v>432255</v>
      </c>
      <c r="CG25" s="47">
        <f t="shared" si="6"/>
        <v>1489046</v>
      </c>
      <c r="CH25" s="49">
        <v>162227</v>
      </c>
      <c r="CI25" s="49">
        <v>566171</v>
      </c>
      <c r="CJ25" s="49">
        <v>335082</v>
      </c>
      <c r="CK25" s="70">
        <v>197531</v>
      </c>
      <c r="CL25" s="47">
        <f t="shared" si="7"/>
        <v>1261011</v>
      </c>
      <c r="CM25" s="46">
        <v>86700.086559999996</v>
      </c>
      <c r="CN25" s="46">
        <v>574879.51722000004</v>
      </c>
      <c r="CO25" s="46">
        <v>375006.63245000003</v>
      </c>
      <c r="CP25" s="46">
        <v>241257.63417</v>
      </c>
      <c r="CQ25" s="47">
        <f t="shared" si="17"/>
        <v>1277843.8704000001</v>
      </c>
      <c r="CR25" s="46">
        <v>103974.48339000001</v>
      </c>
      <c r="CS25" s="46">
        <v>627865.32285</v>
      </c>
      <c r="CT25" s="46">
        <v>515292.41589</v>
      </c>
      <c r="CU25" s="46">
        <v>323214.15210000001</v>
      </c>
      <c r="CV25" s="47">
        <f t="shared" si="8"/>
        <v>1570346.3742300002</v>
      </c>
      <c r="CW25" s="46">
        <v>97111.083920000005</v>
      </c>
      <c r="CX25" s="46">
        <v>577088.66437999997</v>
      </c>
      <c r="CY25" s="46">
        <v>689875.56502999994</v>
      </c>
      <c r="CZ25" s="46">
        <v>351805.87026</v>
      </c>
      <c r="DA25" s="47">
        <f t="shared" si="16"/>
        <v>1715881.1835899998</v>
      </c>
      <c r="DB25" s="78">
        <v>53228</v>
      </c>
      <c r="DC25" s="94">
        <v>698425</v>
      </c>
      <c r="DD25" s="94">
        <v>624452</v>
      </c>
      <c r="DE25" s="94">
        <v>341740</v>
      </c>
      <c r="DF25" s="175">
        <f>SUM(Table1[[#This Row],[JUL-SEP-20]:[APR-JUN 21]])</f>
        <v>1717845</v>
      </c>
      <c r="DG25" s="78">
        <v>27452</v>
      </c>
      <c r="DH25" s="94">
        <v>747908</v>
      </c>
      <c r="DI25" s="94">
        <v>62149</v>
      </c>
      <c r="DJ25" s="94">
        <v>284014</v>
      </c>
      <c r="DK25" s="175">
        <f t="shared" si="29"/>
        <v>1121523</v>
      </c>
      <c r="DL25" s="78">
        <v>51433</v>
      </c>
      <c r="DM25" s="94">
        <v>575857</v>
      </c>
      <c r="DN25" s="94">
        <v>558216</v>
      </c>
      <c r="DO25" s="94">
        <v>186908</v>
      </c>
      <c r="DP25" s="175">
        <f t="shared" si="30"/>
        <v>1372414</v>
      </c>
      <c r="DQ25" s="78">
        <v>66809</v>
      </c>
      <c r="DR25" s="94">
        <v>597796</v>
      </c>
      <c r="DS25" s="94">
        <v>564503</v>
      </c>
      <c r="DT25" s="94">
        <v>248507</v>
      </c>
      <c r="DU25" s="175">
        <f t="shared" si="31"/>
        <v>1477615</v>
      </c>
      <c r="DV25" s="78">
        <v>32540</v>
      </c>
      <c r="DW25" s="94">
        <v>567232</v>
      </c>
      <c r="DX25" s="94">
        <v>585449</v>
      </c>
      <c r="DY25" s="94">
        <v>0</v>
      </c>
      <c r="DZ25" s="175">
        <f t="shared" si="32"/>
        <v>1185221</v>
      </c>
    </row>
    <row r="26" spans="1:130" x14ac:dyDescent="0.25">
      <c r="A26" s="59" t="s">
        <v>164</v>
      </c>
      <c r="B26" s="59" t="s">
        <v>165</v>
      </c>
      <c r="C26" s="59">
        <v>355</v>
      </c>
      <c r="D26" s="59">
        <f t="shared" si="9"/>
        <v>0.17749999999999999</v>
      </c>
      <c r="E26" s="59">
        <v>1237540</v>
      </c>
      <c r="F26" s="59">
        <v>639105</v>
      </c>
      <c r="G26" s="59">
        <v>843909</v>
      </c>
      <c r="H26" s="59">
        <f t="shared" si="34"/>
        <v>1483014</v>
      </c>
      <c r="I26" s="59">
        <f t="shared" si="19"/>
        <v>723119</v>
      </c>
      <c r="J26" s="59">
        <v>291870</v>
      </c>
      <c r="K26" s="59">
        <v>431249</v>
      </c>
      <c r="L26" s="59">
        <f t="shared" si="20"/>
        <v>987108</v>
      </c>
      <c r="M26" s="59">
        <v>777498</v>
      </c>
      <c r="N26" s="59">
        <v>209610</v>
      </c>
      <c r="O26" s="59">
        <f t="shared" si="35"/>
        <v>2697335</v>
      </c>
      <c r="P26" s="59">
        <v>349552</v>
      </c>
      <c r="Q26" s="59">
        <v>629329</v>
      </c>
      <c r="R26" s="59">
        <v>1166769</v>
      </c>
      <c r="S26" s="59">
        <v>93747</v>
      </c>
      <c r="T26" s="59">
        <f t="shared" si="36"/>
        <v>2239397</v>
      </c>
      <c r="U26" s="59">
        <v>304491</v>
      </c>
      <c r="V26" s="59">
        <v>702611</v>
      </c>
      <c r="W26" s="59">
        <v>920944</v>
      </c>
      <c r="X26" s="59">
        <v>98563</v>
      </c>
      <c r="Y26" s="59">
        <f t="shared" si="33"/>
        <v>2026609</v>
      </c>
      <c r="Z26" s="59">
        <v>419608</v>
      </c>
      <c r="AA26" s="59">
        <v>582876</v>
      </c>
      <c r="AB26" s="59">
        <v>1036292</v>
      </c>
      <c r="AC26" s="59">
        <v>118967</v>
      </c>
      <c r="AD26" s="59">
        <f t="shared" si="0"/>
        <v>2157743</v>
      </c>
      <c r="AE26" s="59">
        <v>411656.25</v>
      </c>
      <c r="AF26" s="59">
        <v>834368.49</v>
      </c>
      <c r="AG26" s="59">
        <v>760640.52</v>
      </c>
      <c r="AH26" s="59">
        <v>124058</v>
      </c>
      <c r="AI26" s="59">
        <f t="shared" si="1"/>
        <v>2130723.2599999998</v>
      </c>
      <c r="AJ26" s="59">
        <v>542502</v>
      </c>
      <c r="AK26" s="59">
        <v>758690</v>
      </c>
      <c r="AL26" s="59">
        <v>890134</v>
      </c>
      <c r="AM26" s="59">
        <v>128180</v>
      </c>
      <c r="AN26" s="59">
        <f t="shared" si="2"/>
        <v>2319506</v>
      </c>
      <c r="AO26" s="59">
        <v>675003</v>
      </c>
      <c r="AP26" s="59">
        <v>711257</v>
      </c>
      <c r="AQ26" s="59">
        <v>931734</v>
      </c>
      <c r="AR26" s="59">
        <v>172896</v>
      </c>
      <c r="AS26" s="59">
        <f t="shared" si="3"/>
        <v>2490890</v>
      </c>
      <c r="AT26" s="59">
        <v>855269</v>
      </c>
      <c r="AU26" s="59">
        <v>983650</v>
      </c>
      <c r="AV26" s="59">
        <v>844508</v>
      </c>
      <c r="AW26" s="59">
        <v>241200</v>
      </c>
      <c r="AX26" s="59">
        <f t="shared" si="4"/>
        <v>2924627</v>
      </c>
      <c r="AY26" s="59">
        <v>869245</v>
      </c>
      <c r="AZ26" s="59">
        <v>785443</v>
      </c>
      <c r="BA26" s="59">
        <v>934897</v>
      </c>
      <c r="BB26" s="59">
        <v>158363</v>
      </c>
      <c r="BC26" s="59">
        <f t="shared" si="5"/>
        <v>2747948</v>
      </c>
      <c r="BD26" s="59">
        <v>921835</v>
      </c>
      <c r="BE26" s="59">
        <v>1037205</v>
      </c>
      <c r="BF26" s="59">
        <v>598241</v>
      </c>
      <c r="BG26" s="59">
        <v>142253.5</v>
      </c>
      <c r="BH26" s="59">
        <f t="shared" si="10"/>
        <v>2699534.5</v>
      </c>
      <c r="BI26" s="59">
        <v>1026870</v>
      </c>
      <c r="BJ26" s="59">
        <v>912966</v>
      </c>
      <c r="BK26" s="59">
        <v>645708</v>
      </c>
      <c r="BL26" s="59">
        <v>213521</v>
      </c>
      <c r="BM26" s="59">
        <f t="shared" si="11"/>
        <v>2799065</v>
      </c>
      <c r="BN26" s="59">
        <f t="shared" si="12"/>
        <v>1931041</v>
      </c>
      <c r="BO26" s="59">
        <v>995053</v>
      </c>
      <c r="BP26" s="59">
        <v>935988</v>
      </c>
      <c r="BQ26" s="59">
        <v>942982</v>
      </c>
      <c r="BR26" s="59">
        <v>106574</v>
      </c>
      <c r="BS26" s="59">
        <f t="shared" si="28"/>
        <v>2980597</v>
      </c>
      <c r="BT26" s="59">
        <v>1081040.9903800001</v>
      </c>
      <c r="BU26" s="59">
        <v>808463.30394000001</v>
      </c>
      <c r="BV26" s="59">
        <v>960455.84939999995</v>
      </c>
      <c r="BW26" s="59">
        <f t="shared" si="14"/>
        <v>5937131.1437200001</v>
      </c>
      <c r="BX26" s="59">
        <v>93153</v>
      </c>
      <c r="BY26" s="59">
        <v>784794</v>
      </c>
      <c r="BZ26" s="59">
        <v>598191</v>
      </c>
      <c r="CA26" s="59">
        <v>692303</v>
      </c>
      <c r="CB26" s="59">
        <f t="shared" si="15"/>
        <v>2168441</v>
      </c>
      <c r="CC26" s="59">
        <v>150111</v>
      </c>
      <c r="CD26" s="59">
        <v>760745</v>
      </c>
      <c r="CE26" s="59">
        <v>661233</v>
      </c>
      <c r="CF26" s="59">
        <v>586732</v>
      </c>
      <c r="CG26" s="59">
        <f t="shared" si="6"/>
        <v>2158821</v>
      </c>
      <c r="CH26" s="59">
        <v>99923</v>
      </c>
      <c r="CI26" s="59">
        <v>668557</v>
      </c>
      <c r="CJ26" s="59">
        <v>488003</v>
      </c>
      <c r="CK26" s="69">
        <v>385700</v>
      </c>
      <c r="CL26" s="59">
        <f t="shared" si="7"/>
        <v>1642183</v>
      </c>
      <c r="CM26" s="46">
        <v>72166.512619999994</v>
      </c>
      <c r="CN26" s="46">
        <v>599380.55556000001</v>
      </c>
      <c r="CO26" s="46">
        <v>469231.09706</v>
      </c>
      <c r="CP26" s="46">
        <v>425936.69848000002</v>
      </c>
      <c r="CQ26" s="59">
        <f t="shared" si="17"/>
        <v>1566714.86372</v>
      </c>
      <c r="CR26" s="46">
        <v>131591.13571</v>
      </c>
      <c r="CS26" s="46">
        <v>496114.30556000001</v>
      </c>
      <c r="CT26" s="46">
        <v>548904.71915999998</v>
      </c>
      <c r="CU26" s="46">
        <v>399349.56079999998</v>
      </c>
      <c r="CV26" s="59">
        <f t="shared" si="8"/>
        <v>1575959.7212300003</v>
      </c>
      <c r="CW26" s="46">
        <v>79392.337169999999</v>
      </c>
      <c r="CX26" s="46">
        <v>446780.55556000001</v>
      </c>
      <c r="CY26" s="46">
        <v>496773.51052000001</v>
      </c>
      <c r="CZ26" s="46">
        <v>388006.34155999997</v>
      </c>
      <c r="DA26" s="59">
        <f t="shared" si="16"/>
        <v>1410952.7448100001</v>
      </c>
      <c r="DB26" s="78">
        <v>112917</v>
      </c>
      <c r="DC26" s="94">
        <v>442043</v>
      </c>
      <c r="DD26" s="94">
        <v>524999</v>
      </c>
      <c r="DE26" s="94">
        <v>441129</v>
      </c>
      <c r="DF26" s="102">
        <f>SUM(Table1[[#This Row],[JUL-SEP-20]:[APR-JUN 21]])</f>
        <v>1521088</v>
      </c>
      <c r="DG26" s="78">
        <v>99393</v>
      </c>
      <c r="DH26" s="94">
        <v>405577</v>
      </c>
      <c r="DI26" s="94">
        <v>348689</v>
      </c>
      <c r="DJ26" s="94">
        <v>437401</v>
      </c>
      <c r="DK26" s="196">
        <f t="shared" si="29"/>
        <v>1291060</v>
      </c>
      <c r="DL26" s="78">
        <v>76454</v>
      </c>
      <c r="DM26" s="94">
        <v>461285</v>
      </c>
      <c r="DN26" s="94">
        <v>442453</v>
      </c>
      <c r="DO26" s="94">
        <v>554701</v>
      </c>
      <c r="DP26" s="196">
        <f t="shared" si="30"/>
        <v>1534893</v>
      </c>
      <c r="DQ26" s="78">
        <v>138534</v>
      </c>
      <c r="DR26" s="94">
        <v>551458</v>
      </c>
      <c r="DS26" s="94">
        <v>547960</v>
      </c>
      <c r="DT26" s="94">
        <v>444414</v>
      </c>
      <c r="DU26" s="196">
        <f t="shared" si="31"/>
        <v>1682366</v>
      </c>
      <c r="DV26" s="78">
        <v>71184</v>
      </c>
      <c r="DW26" s="94">
        <v>644851</v>
      </c>
      <c r="DX26" s="94">
        <v>620134</v>
      </c>
      <c r="DY26" s="94">
        <v>0</v>
      </c>
      <c r="DZ26" s="196">
        <f t="shared" si="32"/>
        <v>1336169</v>
      </c>
    </row>
    <row r="27" spans="1:130" x14ac:dyDescent="0.25">
      <c r="A27" s="49" t="s">
        <v>166</v>
      </c>
      <c r="B27" s="49" t="s">
        <v>167</v>
      </c>
      <c r="C27" s="49">
        <v>540</v>
      </c>
      <c r="D27" s="49">
        <f t="shared" si="9"/>
        <v>0.27</v>
      </c>
      <c r="E27" s="49">
        <v>133643</v>
      </c>
      <c r="F27" s="49">
        <v>65560</v>
      </c>
      <c r="G27" s="49">
        <v>144146</v>
      </c>
      <c r="H27" s="49">
        <f t="shared" si="34"/>
        <v>209706</v>
      </c>
      <c r="I27" s="49">
        <f t="shared" si="19"/>
        <v>51821</v>
      </c>
      <c r="J27" s="49">
        <v>25837</v>
      </c>
      <c r="K27" s="49">
        <v>25984</v>
      </c>
      <c r="L27" s="49">
        <f t="shared" si="20"/>
        <v>80978</v>
      </c>
      <c r="M27" s="49">
        <v>51020</v>
      </c>
      <c r="N27" s="49">
        <v>29958</v>
      </c>
      <c r="O27" s="49">
        <f t="shared" si="35"/>
        <v>213777</v>
      </c>
      <c r="P27" s="49">
        <v>25072</v>
      </c>
      <c r="Q27" s="49">
        <v>35243</v>
      </c>
      <c r="R27" s="49">
        <v>124261</v>
      </c>
      <c r="S27" s="49">
        <v>70858</v>
      </c>
      <c r="T27" s="49">
        <f t="shared" si="36"/>
        <v>255434</v>
      </c>
      <c r="U27" s="49">
        <v>24932</v>
      </c>
      <c r="V27" s="49">
        <v>21660</v>
      </c>
      <c r="W27" s="49">
        <v>36067</v>
      </c>
      <c r="X27" s="49">
        <v>48781</v>
      </c>
      <c r="Y27" s="49">
        <f t="shared" si="33"/>
        <v>131440</v>
      </c>
      <c r="Z27" s="49">
        <v>20078</v>
      </c>
      <c r="AA27" s="49">
        <v>16355</v>
      </c>
      <c r="AB27" s="49">
        <v>38877</v>
      </c>
      <c r="AC27" s="49">
        <v>30487</v>
      </c>
      <c r="AD27" s="49">
        <f t="shared" si="0"/>
        <v>105797</v>
      </c>
      <c r="AE27" s="49">
        <v>17618</v>
      </c>
      <c r="AF27" s="49">
        <v>39496</v>
      </c>
      <c r="AG27" s="49">
        <v>43257</v>
      </c>
      <c r="AH27" s="49">
        <v>27650</v>
      </c>
      <c r="AI27" s="49">
        <f t="shared" si="1"/>
        <v>128021</v>
      </c>
      <c r="AJ27" s="49">
        <v>20101</v>
      </c>
      <c r="AK27" s="49">
        <v>19539</v>
      </c>
      <c r="AL27" s="49">
        <v>33690</v>
      </c>
      <c r="AM27" s="49">
        <v>45551</v>
      </c>
      <c r="AN27" s="49">
        <f t="shared" si="2"/>
        <v>118881</v>
      </c>
      <c r="AO27" s="49">
        <v>33321</v>
      </c>
      <c r="AP27" s="49">
        <v>44138</v>
      </c>
      <c r="AQ27" s="49">
        <v>58905</v>
      </c>
      <c r="AR27" s="49">
        <v>42517</v>
      </c>
      <c r="AS27" s="49">
        <f t="shared" si="3"/>
        <v>178881</v>
      </c>
      <c r="AT27" s="49">
        <v>28602</v>
      </c>
      <c r="AU27" s="49">
        <v>42479</v>
      </c>
      <c r="AV27" s="49">
        <v>45968</v>
      </c>
      <c r="AW27" s="49">
        <v>38609</v>
      </c>
      <c r="AX27" s="49">
        <f t="shared" si="4"/>
        <v>155658</v>
      </c>
      <c r="AY27" s="49">
        <v>16919</v>
      </c>
      <c r="AZ27" s="49">
        <v>38590</v>
      </c>
      <c r="BA27" s="49">
        <v>18866</v>
      </c>
      <c r="BB27" s="49">
        <v>34366</v>
      </c>
      <c r="BC27" s="49">
        <f t="shared" si="5"/>
        <v>108741</v>
      </c>
      <c r="BD27" s="49">
        <v>25082</v>
      </c>
      <c r="BE27" s="49">
        <v>37365</v>
      </c>
      <c r="BF27" s="49">
        <v>27301</v>
      </c>
      <c r="BG27" s="49">
        <v>21310</v>
      </c>
      <c r="BH27" s="49">
        <f t="shared" si="10"/>
        <v>111058</v>
      </c>
      <c r="BI27" s="49">
        <v>28350</v>
      </c>
      <c r="BJ27" s="49">
        <v>45276</v>
      </c>
      <c r="BK27" s="49">
        <v>39587</v>
      </c>
      <c r="BL27" s="49">
        <v>26968</v>
      </c>
      <c r="BM27" s="49">
        <f t="shared" si="11"/>
        <v>140181</v>
      </c>
      <c r="BN27" s="49">
        <f t="shared" si="12"/>
        <v>68961</v>
      </c>
      <c r="BO27" s="49">
        <v>21718</v>
      </c>
      <c r="BP27" s="49">
        <v>47243</v>
      </c>
      <c r="BQ27" s="49">
        <v>80294</v>
      </c>
      <c r="BR27" s="49">
        <v>38494</v>
      </c>
      <c r="BS27" s="47">
        <f t="shared" si="28"/>
        <v>187749</v>
      </c>
      <c r="BT27" s="49">
        <v>18394.576410000001</v>
      </c>
      <c r="BU27" s="49">
        <v>36223.010150000002</v>
      </c>
      <c r="BV27" s="49">
        <v>43566.339509999998</v>
      </c>
      <c r="BW27" s="47">
        <f t="shared" si="14"/>
        <v>324426.92607000005</v>
      </c>
      <c r="BX27" s="49">
        <v>43212</v>
      </c>
      <c r="BY27" s="49">
        <v>9033</v>
      </c>
      <c r="BZ27" s="49">
        <v>22946</v>
      </c>
      <c r="CA27" s="49">
        <v>39933</v>
      </c>
      <c r="CB27" s="47">
        <f t="shared" si="15"/>
        <v>115124</v>
      </c>
      <c r="CC27" s="49">
        <v>27373</v>
      </c>
      <c r="CD27" s="49">
        <v>6137</v>
      </c>
      <c r="CE27" s="49">
        <v>31893</v>
      </c>
      <c r="CF27" s="49">
        <v>44474</v>
      </c>
      <c r="CG27" s="47">
        <f t="shared" si="6"/>
        <v>109877</v>
      </c>
      <c r="CH27" s="49">
        <v>18399</v>
      </c>
      <c r="CI27" s="49">
        <v>4376</v>
      </c>
      <c r="CJ27" s="49">
        <v>21964</v>
      </c>
      <c r="CK27" s="70">
        <v>72829</v>
      </c>
      <c r="CL27" s="47">
        <f t="shared" si="7"/>
        <v>117568</v>
      </c>
      <c r="CM27" s="46">
        <v>26268.372850000011</v>
      </c>
      <c r="CN27" s="46">
        <v>5020.9655000000002</v>
      </c>
      <c r="CO27" s="46">
        <v>15782.1985</v>
      </c>
      <c r="CP27" s="46">
        <v>20711.865600000012</v>
      </c>
      <c r="CQ27" s="47">
        <f t="shared" si="17"/>
        <v>67783.402450000023</v>
      </c>
      <c r="CR27" s="46">
        <v>26150.713150000014</v>
      </c>
      <c r="CS27" s="46">
        <v>8016.8428300000005</v>
      </c>
      <c r="CT27" s="46">
        <v>19973.943010000003</v>
      </c>
      <c r="CU27" s="46">
        <v>28682.217880000011</v>
      </c>
      <c r="CV27" s="47">
        <f t="shared" si="8"/>
        <v>82823.716870000033</v>
      </c>
      <c r="CW27" s="46">
        <v>23510.433090000006</v>
      </c>
      <c r="CX27" s="46">
        <v>10851.82344</v>
      </c>
      <c r="CY27" s="46">
        <v>25193.152640000004</v>
      </c>
      <c r="CZ27" s="46">
        <v>14646.879040000002</v>
      </c>
      <c r="DA27" s="47">
        <f t="shared" si="16"/>
        <v>74202.288210000013</v>
      </c>
      <c r="DB27" s="81">
        <v>612</v>
      </c>
      <c r="DC27" s="101" t="s">
        <v>168</v>
      </c>
      <c r="DD27" s="97">
        <v>75210</v>
      </c>
      <c r="DE27" s="97">
        <v>57471</v>
      </c>
      <c r="DF27" s="174">
        <f>SUM(Table1[[#This Row],[JUL-SEP-20]:[APR-JUN 21]])</f>
        <v>133293</v>
      </c>
      <c r="DG27" s="81">
        <v>48962</v>
      </c>
      <c r="DH27" s="101">
        <v>11871</v>
      </c>
      <c r="DI27" s="97">
        <v>147930</v>
      </c>
      <c r="DJ27" s="97">
        <v>44399</v>
      </c>
      <c r="DK27" s="175">
        <f t="shared" si="29"/>
        <v>253162</v>
      </c>
      <c r="DL27" s="81">
        <v>14249</v>
      </c>
      <c r="DM27" s="101">
        <v>48373</v>
      </c>
      <c r="DN27" s="97">
        <v>41052</v>
      </c>
      <c r="DO27" s="97">
        <v>44692</v>
      </c>
      <c r="DP27" s="175">
        <f t="shared" si="30"/>
        <v>148366</v>
      </c>
      <c r="DQ27" s="81">
        <v>49240</v>
      </c>
      <c r="DR27" s="101">
        <v>15648</v>
      </c>
      <c r="DS27" s="97">
        <v>78125</v>
      </c>
      <c r="DT27" s="97">
        <v>56246</v>
      </c>
      <c r="DU27" s="175">
        <f t="shared" si="31"/>
        <v>199259</v>
      </c>
      <c r="DV27" s="81">
        <v>25242</v>
      </c>
      <c r="DW27" s="101">
        <v>17871</v>
      </c>
      <c r="DX27" s="97">
        <v>101987</v>
      </c>
      <c r="DY27" s="97">
        <v>0</v>
      </c>
      <c r="DZ27" s="175">
        <f t="shared" si="32"/>
        <v>145100</v>
      </c>
    </row>
    <row r="28" spans="1:130" x14ac:dyDescent="0.25">
      <c r="A28" s="59" t="s">
        <v>169</v>
      </c>
      <c r="B28" s="59" t="s">
        <v>170</v>
      </c>
      <c r="C28" s="59">
        <v>1265</v>
      </c>
      <c r="D28" s="59">
        <f t="shared" si="9"/>
        <v>0.63249999999999995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>
        <v>229593</v>
      </c>
      <c r="U28" s="59"/>
      <c r="V28" s="59"/>
      <c r="W28" s="59"/>
      <c r="X28" s="59"/>
      <c r="Y28" s="59">
        <v>280766</v>
      </c>
      <c r="Z28" s="59">
        <v>14458</v>
      </c>
      <c r="AA28" s="59">
        <v>62648</v>
      </c>
      <c r="AB28" s="59">
        <v>347088</v>
      </c>
      <c r="AC28" s="59">
        <v>154320</v>
      </c>
      <c r="AD28" s="59">
        <f t="shared" si="0"/>
        <v>578514</v>
      </c>
      <c r="AE28" s="59">
        <v>14009</v>
      </c>
      <c r="AF28" s="59">
        <v>104091</v>
      </c>
      <c r="AG28" s="59">
        <v>217467</v>
      </c>
      <c r="AH28" s="59">
        <v>123651</v>
      </c>
      <c r="AI28" s="59">
        <f t="shared" si="1"/>
        <v>459218</v>
      </c>
      <c r="AJ28" s="59">
        <v>18239</v>
      </c>
      <c r="AK28" s="59">
        <v>35779</v>
      </c>
      <c r="AL28" s="59">
        <v>192812</v>
      </c>
      <c r="AM28" s="59">
        <v>122671</v>
      </c>
      <c r="AN28" s="59">
        <f t="shared" si="2"/>
        <v>369501</v>
      </c>
      <c r="AO28" s="59">
        <v>30154</v>
      </c>
      <c r="AP28" s="59">
        <v>53103</v>
      </c>
      <c r="AQ28" s="59">
        <v>159514</v>
      </c>
      <c r="AR28" s="59">
        <v>196146</v>
      </c>
      <c r="AS28" s="59">
        <f t="shared" si="3"/>
        <v>438917</v>
      </c>
      <c r="AT28" s="59">
        <v>50904</v>
      </c>
      <c r="AU28" s="59">
        <v>54729</v>
      </c>
      <c r="AV28" s="59">
        <v>184996</v>
      </c>
      <c r="AW28" s="59">
        <v>66639</v>
      </c>
      <c r="AX28" s="59">
        <f t="shared" si="4"/>
        <v>357268</v>
      </c>
      <c r="AY28" s="59">
        <v>46526</v>
      </c>
      <c r="AZ28" s="59">
        <v>61460</v>
      </c>
      <c r="BA28" s="59">
        <v>137565.79999999999</v>
      </c>
      <c r="BB28" s="59">
        <v>21004</v>
      </c>
      <c r="BC28" s="59">
        <f t="shared" si="5"/>
        <v>266555.8</v>
      </c>
      <c r="BD28" s="59">
        <v>21144</v>
      </c>
      <c r="BE28" s="59">
        <v>121712</v>
      </c>
      <c r="BF28" s="59">
        <v>98031</v>
      </c>
      <c r="BG28" s="59">
        <v>93063</v>
      </c>
      <c r="BH28" s="59">
        <f t="shared" si="10"/>
        <v>333950</v>
      </c>
      <c r="BI28" s="59">
        <v>43033</v>
      </c>
      <c r="BJ28" s="59">
        <v>99239</v>
      </c>
      <c r="BK28" s="59">
        <v>190322</v>
      </c>
      <c r="BL28" s="59" t="s">
        <v>171</v>
      </c>
      <c r="BM28" s="59">
        <f t="shared" si="11"/>
        <v>332594</v>
      </c>
      <c r="BN28" s="59">
        <f t="shared" si="12"/>
        <v>117481.75</v>
      </c>
      <c r="BO28" s="59">
        <v>23494.25</v>
      </c>
      <c r="BP28" s="59">
        <v>93987.5</v>
      </c>
      <c r="BQ28" s="59">
        <v>130600</v>
      </c>
      <c r="BR28" s="59">
        <v>80038</v>
      </c>
      <c r="BS28" s="59">
        <f t="shared" si="28"/>
        <v>328119.75</v>
      </c>
      <c r="BT28" s="59">
        <v>57004.391900000002</v>
      </c>
      <c r="BU28" s="59">
        <v>119678.75685000001</v>
      </c>
      <c r="BV28" s="59">
        <v>223901.87027000001</v>
      </c>
      <c r="BW28" s="59">
        <f t="shared" si="14"/>
        <v>808742.76902000001</v>
      </c>
      <c r="BX28" s="59">
        <v>118234</v>
      </c>
      <c r="BY28" s="59">
        <v>29136</v>
      </c>
      <c r="BZ28" s="59">
        <v>141541</v>
      </c>
      <c r="CA28" s="59">
        <v>233326</v>
      </c>
      <c r="CB28" s="59">
        <f t="shared" si="15"/>
        <v>522237</v>
      </c>
      <c r="CC28" s="59">
        <v>77934</v>
      </c>
      <c r="CD28" s="59">
        <v>31586</v>
      </c>
      <c r="CE28" s="59">
        <v>103765</v>
      </c>
      <c r="CF28" s="59">
        <v>212351</v>
      </c>
      <c r="CG28" s="59">
        <f t="shared" si="6"/>
        <v>425636</v>
      </c>
      <c r="CH28" s="59">
        <v>77669</v>
      </c>
      <c r="CI28" s="59">
        <v>56436</v>
      </c>
      <c r="CJ28" s="59">
        <v>205068</v>
      </c>
      <c r="CK28" s="69">
        <v>242563</v>
      </c>
      <c r="CL28" s="59">
        <f t="shared" si="7"/>
        <v>581736</v>
      </c>
      <c r="CM28" s="46">
        <v>165312.52742999999</v>
      </c>
      <c r="CN28" s="46">
        <v>224303.69492000004</v>
      </c>
      <c r="CO28" s="46">
        <v>323729.37182999979</v>
      </c>
      <c r="CP28" s="46">
        <v>302269.65291</v>
      </c>
      <c r="CQ28" s="59">
        <f t="shared" si="17"/>
        <v>1015615.2470899997</v>
      </c>
      <c r="CR28" s="46">
        <v>273799.86560999986</v>
      </c>
      <c r="CS28" s="46">
        <v>169135.64999999997</v>
      </c>
      <c r="CT28" s="46">
        <v>259294.02227999974</v>
      </c>
      <c r="CU28" s="46">
        <v>267862.06985999981</v>
      </c>
      <c r="CV28" s="59">
        <f t="shared" si="8"/>
        <v>970091.60774999938</v>
      </c>
      <c r="CW28" s="46">
        <v>144064.35505000001</v>
      </c>
      <c r="CX28" s="46">
        <v>99642.312240000014</v>
      </c>
      <c r="CY28" s="46">
        <v>210541.16290999993</v>
      </c>
      <c r="CZ28" s="46">
        <v>222756.90616999991</v>
      </c>
      <c r="DA28" s="59">
        <f t="shared" si="16"/>
        <v>677004.73636999982</v>
      </c>
      <c r="DB28" s="78">
        <v>150833</v>
      </c>
      <c r="DC28" s="94">
        <v>75071</v>
      </c>
      <c r="DD28" s="94">
        <v>142973</v>
      </c>
      <c r="DE28" s="94">
        <v>217650</v>
      </c>
      <c r="DF28" s="102">
        <f>SUM(Table1[[#This Row],[JUL-SEP-20]:[APR-JUN 21]])</f>
        <v>586527</v>
      </c>
      <c r="DG28" s="78">
        <v>125224</v>
      </c>
      <c r="DH28" s="94">
        <v>81200</v>
      </c>
      <c r="DI28" s="94">
        <v>64740</v>
      </c>
      <c r="DJ28" s="94">
        <v>87285</v>
      </c>
      <c r="DK28" s="197">
        <f t="shared" si="29"/>
        <v>358449</v>
      </c>
      <c r="DL28" s="78">
        <v>66180</v>
      </c>
      <c r="DM28" s="94">
        <v>20664</v>
      </c>
      <c r="DN28" s="94">
        <v>66668</v>
      </c>
      <c r="DO28" s="94">
        <v>90952</v>
      </c>
      <c r="DP28" s="197">
        <f t="shared" si="30"/>
        <v>244464</v>
      </c>
      <c r="DQ28" s="78">
        <v>56548</v>
      </c>
      <c r="DR28" s="94">
        <v>36358</v>
      </c>
      <c r="DS28" s="94">
        <v>124202</v>
      </c>
      <c r="DT28" s="94">
        <v>110589</v>
      </c>
      <c r="DU28" s="197">
        <f t="shared" si="31"/>
        <v>327697</v>
      </c>
      <c r="DV28" s="78">
        <v>52826</v>
      </c>
      <c r="DW28" s="94">
        <v>34075</v>
      </c>
      <c r="DX28" s="94">
        <v>79560</v>
      </c>
      <c r="DY28" s="94">
        <v>0</v>
      </c>
      <c r="DZ28" s="197">
        <f t="shared" si="32"/>
        <v>166461</v>
      </c>
    </row>
    <row r="29" spans="1:130" x14ac:dyDescent="0.25">
      <c r="A29" s="49" t="s">
        <v>172</v>
      </c>
      <c r="B29" s="49" t="s">
        <v>173</v>
      </c>
      <c r="C29" s="49">
        <v>1300</v>
      </c>
      <c r="D29" s="49">
        <f t="shared" si="9"/>
        <v>0.65</v>
      </c>
      <c r="E29" s="49">
        <v>118989</v>
      </c>
      <c r="F29" s="49">
        <v>69298</v>
      </c>
      <c r="G29" s="49">
        <v>59714</v>
      </c>
      <c r="H29" s="49">
        <f>SUM(F29:G29)</f>
        <v>129012</v>
      </c>
      <c r="I29" s="49">
        <f>J29+K29</f>
        <v>43063</v>
      </c>
      <c r="J29" s="49">
        <v>4827</v>
      </c>
      <c r="K29" s="49">
        <v>38236</v>
      </c>
      <c r="L29" s="49">
        <f>M29+N29</f>
        <v>72548</v>
      </c>
      <c r="M29" s="49">
        <v>51536</v>
      </c>
      <c r="N29" s="49">
        <v>21012</v>
      </c>
      <c r="O29" s="49">
        <f>SUM(J29:N29)</f>
        <v>188159</v>
      </c>
      <c r="P29" s="49">
        <v>6030</v>
      </c>
      <c r="Q29" s="49">
        <v>21012</v>
      </c>
      <c r="R29" s="49">
        <v>37623</v>
      </c>
      <c r="S29" s="49">
        <v>23534</v>
      </c>
      <c r="T29" s="49">
        <f>SUM(P29:S29)</f>
        <v>88199</v>
      </c>
      <c r="U29" s="49">
        <v>9438</v>
      </c>
      <c r="V29" s="49">
        <v>42601</v>
      </c>
      <c r="W29" s="49">
        <v>62380</v>
      </c>
      <c r="X29" s="49">
        <v>17789</v>
      </c>
      <c r="Y29" s="49">
        <f>SUM(U29:X29)</f>
        <v>132208</v>
      </c>
      <c r="Z29" s="49">
        <v>4306</v>
      </c>
      <c r="AA29" s="49">
        <v>35489</v>
      </c>
      <c r="AB29" s="49">
        <v>50490</v>
      </c>
      <c r="AC29" s="49">
        <v>18864</v>
      </c>
      <c r="AD29" s="49">
        <f t="shared" si="0"/>
        <v>109149</v>
      </c>
      <c r="AE29" s="49">
        <v>4237</v>
      </c>
      <c r="AF29" s="49">
        <v>37303</v>
      </c>
      <c r="AG29" s="49">
        <v>50865</v>
      </c>
      <c r="AH29" s="49">
        <v>38683</v>
      </c>
      <c r="AI29" s="49">
        <f t="shared" si="1"/>
        <v>131088</v>
      </c>
      <c r="AJ29" s="49">
        <v>7796</v>
      </c>
      <c r="AK29" s="49">
        <v>19900</v>
      </c>
      <c r="AL29" s="49">
        <v>6594</v>
      </c>
      <c r="AM29" s="49">
        <v>20851</v>
      </c>
      <c r="AN29" s="49">
        <f t="shared" si="2"/>
        <v>55141</v>
      </c>
      <c r="AO29" s="49">
        <v>4687</v>
      </c>
      <c r="AP29" s="49">
        <v>27261</v>
      </c>
      <c r="AQ29" s="49">
        <v>35694</v>
      </c>
      <c r="AR29" s="49">
        <v>19659</v>
      </c>
      <c r="AS29" s="49">
        <f t="shared" si="3"/>
        <v>87301</v>
      </c>
      <c r="AT29" s="49">
        <v>8235</v>
      </c>
      <c r="AU29" s="49">
        <v>37854</v>
      </c>
      <c r="AV29" s="49">
        <v>38439</v>
      </c>
      <c r="AW29" s="49">
        <v>15321</v>
      </c>
      <c r="AX29" s="49">
        <f t="shared" si="4"/>
        <v>99849</v>
      </c>
      <c r="AY29" s="49">
        <v>4840</v>
      </c>
      <c r="AZ29" s="49">
        <v>25694</v>
      </c>
      <c r="BA29" s="49">
        <v>26880</v>
      </c>
      <c r="BB29" s="49">
        <v>33228</v>
      </c>
      <c r="BC29" s="49">
        <f t="shared" si="5"/>
        <v>90642</v>
      </c>
      <c r="BD29" s="49">
        <v>21864</v>
      </c>
      <c r="BE29" s="49">
        <v>70605</v>
      </c>
      <c r="BF29" s="49">
        <v>67270</v>
      </c>
      <c r="BG29" s="49">
        <v>15171</v>
      </c>
      <c r="BH29" s="49">
        <f t="shared" si="10"/>
        <v>174910</v>
      </c>
      <c r="BI29" s="49">
        <v>16472.5</v>
      </c>
      <c r="BJ29" s="49">
        <v>77525</v>
      </c>
      <c r="BK29" s="49">
        <v>61966</v>
      </c>
      <c r="BL29" s="49">
        <v>30629</v>
      </c>
      <c r="BM29" s="49">
        <f t="shared" si="11"/>
        <v>186592.5</v>
      </c>
      <c r="BN29" s="49">
        <f t="shared" si="12"/>
        <v>81063</v>
      </c>
      <c r="BO29" s="49">
        <v>14679</v>
      </c>
      <c r="BP29" s="49">
        <v>66384</v>
      </c>
      <c r="BQ29" s="49">
        <v>68649</v>
      </c>
      <c r="BR29" s="49">
        <v>9030</v>
      </c>
      <c r="BS29" s="47">
        <f t="shared" si="28"/>
        <v>158742</v>
      </c>
      <c r="BT29" s="49">
        <v>12738.999949999999</v>
      </c>
      <c r="BU29" s="49">
        <v>46146.232550000001</v>
      </c>
      <c r="BV29" s="49">
        <v>34751.325239999998</v>
      </c>
      <c r="BW29" s="47">
        <f t="shared" si="14"/>
        <v>261408.55773999999</v>
      </c>
      <c r="BX29" s="49">
        <v>22568</v>
      </c>
      <c r="BY29" s="49">
        <v>5932</v>
      </c>
      <c r="BZ29" s="49">
        <v>49506</v>
      </c>
      <c r="CA29" s="49">
        <v>34753</v>
      </c>
      <c r="CB29" s="47">
        <f t="shared" si="15"/>
        <v>112759</v>
      </c>
      <c r="CC29" s="49">
        <v>17060</v>
      </c>
      <c r="CD29" s="49">
        <v>5773</v>
      </c>
      <c r="CE29" s="49">
        <v>38591</v>
      </c>
      <c r="CF29" s="49">
        <v>48352</v>
      </c>
      <c r="CG29" s="47">
        <f t="shared" si="6"/>
        <v>109776</v>
      </c>
      <c r="CH29" s="49">
        <v>15108</v>
      </c>
      <c r="CI29" s="49">
        <v>6049</v>
      </c>
      <c r="CJ29" s="49">
        <v>45780</v>
      </c>
      <c r="CK29" s="70">
        <v>21678</v>
      </c>
      <c r="CL29" s="47">
        <f t="shared" si="7"/>
        <v>88615</v>
      </c>
      <c r="CM29" s="46">
        <v>6109.7375099999981</v>
      </c>
      <c r="CN29" s="46">
        <v>8766.8770799999984</v>
      </c>
      <c r="CO29" s="46">
        <v>15358.691920000001</v>
      </c>
      <c r="CP29" s="46">
        <v>12690.153599999994</v>
      </c>
      <c r="CQ29" s="47">
        <f t="shared" si="17"/>
        <v>42925.460109999993</v>
      </c>
      <c r="CR29" s="46">
        <v>5571.7825600000006</v>
      </c>
      <c r="CS29" s="46">
        <v>2479.3028699999995</v>
      </c>
      <c r="CT29" s="46">
        <v>33313.898779999996</v>
      </c>
      <c r="CU29" s="46">
        <v>12757.320469999999</v>
      </c>
      <c r="CV29" s="47">
        <f t="shared" si="8"/>
        <v>54122.304679999994</v>
      </c>
      <c r="CW29" s="46">
        <v>2542.1865099999995</v>
      </c>
      <c r="CX29" s="46">
        <v>3438.5483899999999</v>
      </c>
      <c r="CY29" s="46">
        <v>34222.639660000001</v>
      </c>
      <c r="CZ29" s="46">
        <v>8204.8349900000012</v>
      </c>
      <c r="DA29" s="47">
        <f t="shared" si="16"/>
        <v>48408.20955</v>
      </c>
      <c r="DB29" s="78">
        <v>-12895</v>
      </c>
      <c r="DC29" s="94">
        <v>2029</v>
      </c>
      <c r="DD29" s="94">
        <v>32976</v>
      </c>
      <c r="DE29" s="94">
        <v>17932</v>
      </c>
      <c r="DF29" s="175">
        <f>SUM(Table1[[#This Row],[JUL-SEP-20]:[APR-JUN 21]])</f>
        <v>40042</v>
      </c>
      <c r="DG29" s="78">
        <v>2087</v>
      </c>
      <c r="DH29" s="94">
        <v>2089</v>
      </c>
      <c r="DI29" s="94">
        <v>25834</v>
      </c>
      <c r="DJ29" s="94">
        <v>34462</v>
      </c>
      <c r="DK29" s="176">
        <f t="shared" si="29"/>
        <v>64472</v>
      </c>
      <c r="DL29" s="78">
        <v>5156</v>
      </c>
      <c r="DM29" s="94">
        <v>3430</v>
      </c>
      <c r="DN29" s="94">
        <v>19546</v>
      </c>
      <c r="DO29" s="94">
        <v>8251</v>
      </c>
      <c r="DP29" s="176">
        <f t="shared" si="30"/>
        <v>36383</v>
      </c>
      <c r="DQ29" s="78">
        <v>1547</v>
      </c>
      <c r="DR29" s="94">
        <v>1017</v>
      </c>
      <c r="DS29" s="94">
        <v>7471</v>
      </c>
      <c r="DT29" s="94">
        <v>9157</v>
      </c>
      <c r="DU29" s="176">
        <f t="shared" si="31"/>
        <v>19192</v>
      </c>
      <c r="DV29" s="78">
        <v>1699</v>
      </c>
      <c r="DW29" s="94">
        <v>2210</v>
      </c>
      <c r="DX29" s="94">
        <v>14096</v>
      </c>
      <c r="DY29" s="94">
        <v>0</v>
      </c>
      <c r="DZ29" s="176">
        <f t="shared" si="32"/>
        <v>18005</v>
      </c>
    </row>
    <row r="30" spans="1:130" x14ac:dyDescent="0.25">
      <c r="A30" s="84" t="s">
        <v>174</v>
      </c>
      <c r="B30" s="84" t="s">
        <v>175</v>
      </c>
      <c r="C30" s="85">
        <v>1265</v>
      </c>
      <c r="D30" s="85">
        <f t="shared" ref="D30:D31" si="37">C30/2000</f>
        <v>0.63249999999999995</v>
      </c>
      <c r="E30" s="85"/>
      <c r="F30" s="85"/>
      <c r="G30" s="85"/>
      <c r="H30" s="85">
        <f>SUM(F30:G30)</f>
        <v>0</v>
      </c>
      <c r="I30" s="85">
        <f>J30+K30</f>
        <v>0</v>
      </c>
      <c r="J30" s="85"/>
      <c r="K30" s="85"/>
      <c r="L30" s="85">
        <f>M30+N30</f>
        <v>0</v>
      </c>
      <c r="M30" s="85"/>
      <c r="N30" s="85"/>
      <c r="O30" s="85">
        <f>SUM(J30:N30)</f>
        <v>0</v>
      </c>
      <c r="P30" s="85"/>
      <c r="Q30" s="85"/>
      <c r="R30" s="85"/>
      <c r="S30" s="85"/>
      <c r="T30" s="85">
        <v>229593</v>
      </c>
      <c r="U30" s="85"/>
      <c r="V30" s="85"/>
      <c r="W30" s="85"/>
      <c r="X30" s="85"/>
      <c r="Y30" s="85">
        <v>280766</v>
      </c>
      <c r="Z30" s="85">
        <v>14458</v>
      </c>
      <c r="AA30" s="85">
        <v>62648</v>
      </c>
      <c r="AB30" s="85">
        <v>347088</v>
      </c>
      <c r="AC30" s="85">
        <v>154320</v>
      </c>
      <c r="AD30" s="85">
        <f t="shared" ref="AD30:AD31" si="38">Z30+AA30+AB30+AC30</f>
        <v>578514</v>
      </c>
      <c r="AE30" s="85">
        <v>14009</v>
      </c>
      <c r="AF30" s="85">
        <v>104091</v>
      </c>
      <c r="AG30" s="85">
        <v>217467</v>
      </c>
      <c r="AH30" s="85">
        <v>123651</v>
      </c>
      <c r="AI30" s="85">
        <f t="shared" ref="AI30:AI31" si="39">SUM(AE30:AH30)</f>
        <v>459218</v>
      </c>
      <c r="AJ30" s="85">
        <v>18239</v>
      </c>
      <c r="AK30" s="85">
        <v>35779</v>
      </c>
      <c r="AL30" s="85">
        <v>192812</v>
      </c>
      <c r="AM30" s="85">
        <v>122671</v>
      </c>
      <c r="AN30" s="85">
        <f t="shared" ref="AN30:AN31" si="40">SUM(AJ30:AM30)</f>
        <v>369501</v>
      </c>
      <c r="AO30" s="85">
        <v>30154</v>
      </c>
      <c r="AP30" s="85">
        <v>53103</v>
      </c>
      <c r="AQ30" s="85">
        <v>159514</v>
      </c>
      <c r="AR30" s="85">
        <v>196146</v>
      </c>
      <c r="AS30" s="85">
        <f t="shared" ref="AS30:AS31" si="41">SUM(AO30:AR30)</f>
        <v>438917</v>
      </c>
      <c r="AT30" s="85">
        <v>50904</v>
      </c>
      <c r="AU30" s="85">
        <v>54729</v>
      </c>
      <c r="AV30" s="85">
        <v>184996</v>
      </c>
      <c r="AW30" s="85">
        <v>66639</v>
      </c>
      <c r="AX30" s="85">
        <f t="shared" ref="AX30:AX31" si="42">SUM(AT30:AW30)</f>
        <v>357268</v>
      </c>
      <c r="AY30" s="85">
        <v>46526</v>
      </c>
      <c r="AZ30" s="85">
        <v>61460</v>
      </c>
      <c r="BA30" s="85">
        <v>137565.79999999999</v>
      </c>
      <c r="BB30" s="85">
        <v>21004</v>
      </c>
      <c r="BC30" s="85">
        <f t="shared" ref="BC30:BC31" si="43">SUM(AY30:BB30)</f>
        <v>266555.8</v>
      </c>
      <c r="BD30" s="85">
        <v>21144</v>
      </c>
      <c r="BE30" s="85">
        <v>121712</v>
      </c>
      <c r="BF30" s="85">
        <v>98031</v>
      </c>
      <c r="BG30" s="85">
        <v>93063</v>
      </c>
      <c r="BH30" s="85">
        <f t="shared" ref="BH30:BH31" si="44">SUM(BD30:BG30)</f>
        <v>333950</v>
      </c>
      <c r="BI30" s="85">
        <v>43033</v>
      </c>
      <c r="BJ30" s="85">
        <v>99239</v>
      </c>
      <c r="BK30" s="85">
        <v>190322</v>
      </c>
      <c r="BL30" s="85" t="s">
        <v>171</v>
      </c>
      <c r="BM30" s="85">
        <f t="shared" ref="BM30:BM31" si="45">SUM(BI30:BL30)</f>
        <v>332594</v>
      </c>
      <c r="BN30" s="85">
        <f t="shared" ref="BN30:BN31" si="46">SUM(BO30:BP30)</f>
        <v>117481.75</v>
      </c>
      <c r="BO30" s="85">
        <v>23494.25</v>
      </c>
      <c r="BP30" s="85">
        <v>93987.5</v>
      </c>
      <c r="BQ30" s="85">
        <v>130600</v>
      </c>
      <c r="BR30" s="85">
        <v>80038</v>
      </c>
      <c r="BS30" s="86">
        <f t="shared" ref="BS30:BS31" si="47">SUM(BO30:BR30)</f>
        <v>328119.75</v>
      </c>
      <c r="BT30" s="85">
        <v>57004.391900000002</v>
      </c>
      <c r="BU30" s="85">
        <v>119678.75685000001</v>
      </c>
      <c r="BV30" s="85">
        <v>223901.87027000001</v>
      </c>
      <c r="BW30" s="85">
        <f t="shared" ref="BW30:BW31" si="48">SUM(BR30:BV30)</f>
        <v>808742.76902000001</v>
      </c>
      <c r="BX30" s="85">
        <v>118234</v>
      </c>
      <c r="BY30" s="85">
        <v>29136</v>
      </c>
      <c r="BZ30" s="85">
        <v>141541</v>
      </c>
      <c r="CA30" s="85">
        <v>233326</v>
      </c>
      <c r="CB30" s="86">
        <f t="shared" ref="CB30:CB31" si="49">SUM(BX30:CA30)</f>
        <v>522237</v>
      </c>
      <c r="CC30" s="85">
        <v>77934</v>
      </c>
      <c r="CD30" s="85">
        <v>31586</v>
      </c>
      <c r="CE30" s="85">
        <v>103765</v>
      </c>
      <c r="CF30" s="85">
        <v>212351</v>
      </c>
      <c r="CG30" s="86">
        <f t="shared" ref="CG30:CG31" si="50">SUM(CC30:CF30)</f>
        <v>425636</v>
      </c>
      <c r="CH30" s="87">
        <v>77669</v>
      </c>
      <c r="CI30" s="88">
        <v>56436</v>
      </c>
      <c r="CJ30" s="85">
        <v>205068</v>
      </c>
      <c r="CK30" s="89">
        <v>242563</v>
      </c>
      <c r="CL30" s="170">
        <f t="shared" ref="CL30:CL31" si="51">SUM(CH30:CK30)</f>
        <v>581736</v>
      </c>
      <c r="CM30" s="172">
        <v>4441</v>
      </c>
      <c r="CN30" s="90">
        <v>520</v>
      </c>
      <c r="CO30" s="90">
        <v>12328</v>
      </c>
      <c r="CP30" s="90">
        <v>1233</v>
      </c>
      <c r="CQ30" s="86">
        <f t="shared" ref="CQ30:CQ31" si="52">SUM(CM30:CP30)</f>
        <v>18522</v>
      </c>
      <c r="CR30" s="90">
        <v>1619</v>
      </c>
      <c r="CS30" s="90">
        <v>548</v>
      </c>
      <c r="CT30" s="90">
        <v>2547</v>
      </c>
      <c r="CU30" s="90">
        <v>2640</v>
      </c>
      <c r="CV30" s="86">
        <f t="shared" ref="CV30:CV31" si="53">SUM(CR30:CU30)</f>
        <v>7354</v>
      </c>
      <c r="CW30" s="90">
        <v>1438</v>
      </c>
      <c r="CX30" s="90">
        <v>856</v>
      </c>
      <c r="CY30" s="90">
        <v>10425</v>
      </c>
      <c r="CZ30" s="90">
        <v>2194</v>
      </c>
      <c r="DA30" s="86">
        <f t="shared" ref="DA30" si="54">SUM(CW30:CZ30)</f>
        <v>14913</v>
      </c>
      <c r="DB30" s="81">
        <v>938</v>
      </c>
      <c r="DC30" s="97">
        <v>1371</v>
      </c>
      <c r="DD30" s="97">
        <v>47956</v>
      </c>
      <c r="DE30" s="97">
        <v>15712</v>
      </c>
      <c r="DF30" s="174">
        <f>SUM(Table1[[#This Row],[JUL-SEP-20]:[APR-JUN 21]])</f>
        <v>65977</v>
      </c>
      <c r="DG30" s="81">
        <v>7966</v>
      </c>
      <c r="DH30" s="97">
        <v>2759</v>
      </c>
      <c r="DI30" s="97">
        <v>18441</v>
      </c>
      <c r="DJ30" s="97">
        <v>14867</v>
      </c>
      <c r="DK30" s="176">
        <f t="shared" si="29"/>
        <v>44033</v>
      </c>
      <c r="DL30" s="81">
        <v>347</v>
      </c>
      <c r="DM30" s="97">
        <v>24317</v>
      </c>
      <c r="DN30" s="97">
        <v>9253</v>
      </c>
      <c r="DO30" s="97">
        <v>2019</v>
      </c>
      <c r="DP30" s="176">
        <f t="shared" si="30"/>
        <v>35936</v>
      </c>
      <c r="DQ30" s="81">
        <v>5755</v>
      </c>
      <c r="DR30" s="97">
        <v>1805</v>
      </c>
      <c r="DS30" s="97">
        <v>34134</v>
      </c>
      <c r="DT30" s="97">
        <v>3227</v>
      </c>
      <c r="DU30" s="176">
        <f t="shared" si="31"/>
        <v>44921</v>
      </c>
      <c r="DV30" s="81">
        <v>949</v>
      </c>
      <c r="DW30" s="97">
        <v>1088</v>
      </c>
      <c r="DX30" s="97">
        <v>40177</v>
      </c>
      <c r="DY30" s="97">
        <v>0</v>
      </c>
      <c r="DZ30" s="176">
        <f t="shared" si="32"/>
        <v>42214</v>
      </c>
    </row>
    <row r="31" spans="1:130" x14ac:dyDescent="0.25">
      <c r="A31" s="49" t="s">
        <v>176</v>
      </c>
      <c r="B31" s="49" t="s">
        <v>177</v>
      </c>
      <c r="C31" s="49">
        <v>1300</v>
      </c>
      <c r="D31" s="49">
        <f t="shared" si="37"/>
        <v>0.65</v>
      </c>
      <c r="E31" s="49">
        <v>118989</v>
      </c>
      <c r="F31" s="49">
        <v>69298</v>
      </c>
      <c r="G31" s="49">
        <v>59714</v>
      </c>
      <c r="H31" s="49">
        <f>SUM(F31:G31)</f>
        <v>129012</v>
      </c>
      <c r="I31" s="49">
        <f>J31+K31</f>
        <v>43063</v>
      </c>
      <c r="J31" s="49">
        <v>4827</v>
      </c>
      <c r="K31" s="49">
        <v>38236</v>
      </c>
      <c r="L31" s="49">
        <f>M31+N31</f>
        <v>72548</v>
      </c>
      <c r="M31" s="49">
        <v>51536</v>
      </c>
      <c r="N31" s="49">
        <v>21012</v>
      </c>
      <c r="O31" s="49">
        <f>SUM(J31:N31)</f>
        <v>188159</v>
      </c>
      <c r="P31" s="49">
        <v>6030</v>
      </c>
      <c r="Q31" s="49">
        <v>21012</v>
      </c>
      <c r="R31" s="49">
        <v>37623</v>
      </c>
      <c r="S31" s="49">
        <v>23534</v>
      </c>
      <c r="T31" s="49">
        <f>SUM(P31:S31)</f>
        <v>88199</v>
      </c>
      <c r="U31" s="49">
        <v>9438</v>
      </c>
      <c r="V31" s="49">
        <v>42601</v>
      </c>
      <c r="W31" s="49">
        <v>62380</v>
      </c>
      <c r="X31" s="49">
        <v>17789</v>
      </c>
      <c r="Y31" s="49">
        <f>SUM(U31:X31)</f>
        <v>132208</v>
      </c>
      <c r="Z31" s="49">
        <v>4306</v>
      </c>
      <c r="AA31" s="49">
        <v>35489</v>
      </c>
      <c r="AB31" s="49">
        <v>50490</v>
      </c>
      <c r="AC31" s="49">
        <v>18864</v>
      </c>
      <c r="AD31" s="49">
        <f t="shared" si="38"/>
        <v>109149</v>
      </c>
      <c r="AE31" s="49">
        <v>4237</v>
      </c>
      <c r="AF31" s="49">
        <v>37303</v>
      </c>
      <c r="AG31" s="49">
        <v>50865</v>
      </c>
      <c r="AH31" s="49">
        <v>38683</v>
      </c>
      <c r="AI31" s="49">
        <f t="shared" si="39"/>
        <v>131088</v>
      </c>
      <c r="AJ31" s="49">
        <v>7796</v>
      </c>
      <c r="AK31" s="49">
        <v>19900</v>
      </c>
      <c r="AL31" s="49">
        <v>6594</v>
      </c>
      <c r="AM31" s="49">
        <v>20851</v>
      </c>
      <c r="AN31" s="49">
        <f t="shared" si="40"/>
        <v>55141</v>
      </c>
      <c r="AO31" s="49">
        <v>4687</v>
      </c>
      <c r="AP31" s="49">
        <v>27261</v>
      </c>
      <c r="AQ31" s="49">
        <v>35694</v>
      </c>
      <c r="AR31" s="49">
        <v>19659</v>
      </c>
      <c r="AS31" s="49">
        <f t="shared" si="41"/>
        <v>87301</v>
      </c>
      <c r="AT31" s="49">
        <v>8235</v>
      </c>
      <c r="AU31" s="49">
        <v>37854</v>
      </c>
      <c r="AV31" s="49">
        <v>38439</v>
      </c>
      <c r="AW31" s="49">
        <v>15321</v>
      </c>
      <c r="AX31" s="49">
        <f t="shared" si="42"/>
        <v>99849</v>
      </c>
      <c r="AY31" s="49">
        <v>4840</v>
      </c>
      <c r="AZ31" s="49">
        <v>25694</v>
      </c>
      <c r="BA31" s="49">
        <v>26880</v>
      </c>
      <c r="BB31" s="49">
        <v>33228</v>
      </c>
      <c r="BC31" s="49">
        <f t="shared" si="43"/>
        <v>90642</v>
      </c>
      <c r="BD31" s="49">
        <v>21864</v>
      </c>
      <c r="BE31" s="49">
        <v>70605</v>
      </c>
      <c r="BF31" s="49">
        <v>67270</v>
      </c>
      <c r="BG31" s="49">
        <v>15171</v>
      </c>
      <c r="BH31" s="49">
        <f t="shared" si="44"/>
        <v>174910</v>
      </c>
      <c r="BI31" s="49">
        <v>16472.5</v>
      </c>
      <c r="BJ31" s="49">
        <v>77525</v>
      </c>
      <c r="BK31" s="49">
        <v>61966</v>
      </c>
      <c r="BL31" s="49">
        <v>30629</v>
      </c>
      <c r="BM31" s="49">
        <f t="shared" si="45"/>
        <v>186592.5</v>
      </c>
      <c r="BN31" s="49">
        <f t="shared" si="46"/>
        <v>81063</v>
      </c>
      <c r="BO31" s="49">
        <v>14679</v>
      </c>
      <c r="BP31" s="49">
        <v>66384</v>
      </c>
      <c r="BQ31" s="49">
        <v>68649</v>
      </c>
      <c r="BR31" s="49">
        <v>9030</v>
      </c>
      <c r="BS31" s="47">
        <f t="shared" si="47"/>
        <v>158742</v>
      </c>
      <c r="BT31" s="49">
        <v>12738.999949999999</v>
      </c>
      <c r="BU31" s="49">
        <v>46146.232550000001</v>
      </c>
      <c r="BV31" s="49">
        <v>34751.325239999998</v>
      </c>
      <c r="BW31" s="47">
        <f t="shared" si="48"/>
        <v>261408.55773999999</v>
      </c>
      <c r="BX31" s="49">
        <v>22568</v>
      </c>
      <c r="BY31" s="49">
        <v>5932</v>
      </c>
      <c r="BZ31" s="49">
        <v>49506</v>
      </c>
      <c r="CA31" s="49">
        <v>34753</v>
      </c>
      <c r="CB31" s="47">
        <f t="shared" si="49"/>
        <v>112759</v>
      </c>
      <c r="CC31" s="49">
        <v>17060</v>
      </c>
      <c r="CD31" s="49">
        <v>5773</v>
      </c>
      <c r="CE31" s="49">
        <v>38591</v>
      </c>
      <c r="CF31" s="49">
        <v>48352</v>
      </c>
      <c r="CG31" s="47">
        <f t="shared" si="50"/>
        <v>109776</v>
      </c>
      <c r="CH31" s="49">
        <v>15108</v>
      </c>
      <c r="CI31" s="49">
        <v>6049</v>
      </c>
      <c r="CJ31" s="49">
        <v>45780</v>
      </c>
      <c r="CK31" s="70">
        <v>21678</v>
      </c>
      <c r="CL31" s="47">
        <f t="shared" si="51"/>
        <v>88615</v>
      </c>
      <c r="CM31" s="171">
        <v>300</v>
      </c>
      <c r="CN31" s="168">
        <v>0</v>
      </c>
      <c r="CO31" s="168">
        <v>2741</v>
      </c>
      <c r="CP31" s="168">
        <v>0</v>
      </c>
      <c r="CQ31" s="47">
        <f t="shared" si="52"/>
        <v>3041</v>
      </c>
      <c r="CR31" s="168">
        <v>0</v>
      </c>
      <c r="CS31" s="168">
        <v>0</v>
      </c>
      <c r="CT31" s="168">
        <v>104</v>
      </c>
      <c r="CU31" s="168">
        <v>1859</v>
      </c>
      <c r="CV31" s="47">
        <f t="shared" si="53"/>
        <v>1963</v>
      </c>
      <c r="CW31" s="168">
        <v>0</v>
      </c>
      <c r="CX31" s="168">
        <v>0</v>
      </c>
      <c r="CY31" s="168">
        <v>1490</v>
      </c>
      <c r="CZ31" s="168">
        <v>519</v>
      </c>
      <c r="DA31" s="47">
        <f>SUM(CW31:CZ31)</f>
        <v>2009</v>
      </c>
      <c r="DB31" s="77">
        <v>0</v>
      </c>
      <c r="DC31" s="95">
        <v>374.91</v>
      </c>
      <c r="DD31" s="95">
        <v>26680.25</v>
      </c>
      <c r="DE31" s="169">
        <v>8909.06</v>
      </c>
      <c r="DF31" s="176">
        <f>SUM(DB31:DE31)</f>
        <v>35964.22</v>
      </c>
      <c r="DG31" s="77">
        <v>1491</v>
      </c>
      <c r="DH31" s="95">
        <v>19102</v>
      </c>
      <c r="DI31" s="95">
        <v>25557</v>
      </c>
      <c r="DJ31" s="169">
        <v>5496</v>
      </c>
      <c r="DK31" s="176">
        <f t="shared" si="29"/>
        <v>51646</v>
      </c>
      <c r="DL31" s="77">
        <v>0</v>
      </c>
      <c r="DM31" s="95">
        <v>8744</v>
      </c>
      <c r="DN31" s="95">
        <v>2713</v>
      </c>
      <c r="DO31" s="169">
        <v>11716</v>
      </c>
      <c r="DP31" s="176">
        <f t="shared" si="30"/>
        <v>23173</v>
      </c>
      <c r="DQ31" s="77">
        <v>810</v>
      </c>
      <c r="DR31" s="95">
        <v>1041</v>
      </c>
      <c r="DS31" s="95">
        <v>7277</v>
      </c>
      <c r="DT31" s="169">
        <v>8226</v>
      </c>
      <c r="DU31" s="176">
        <f t="shared" si="31"/>
        <v>17354</v>
      </c>
      <c r="DV31" s="77">
        <v>0</v>
      </c>
      <c r="DW31" s="95">
        <v>1989</v>
      </c>
      <c r="DX31" s="95">
        <v>25040</v>
      </c>
      <c r="DY31" s="169">
        <v>0</v>
      </c>
      <c r="DZ31" s="176">
        <f t="shared" si="32"/>
        <v>27029</v>
      </c>
    </row>
    <row r="32" spans="1:130" x14ac:dyDescent="0.25">
      <c r="A32" s="49" t="s">
        <v>178</v>
      </c>
      <c r="B32" s="49" t="s">
        <v>179</v>
      </c>
      <c r="C32" s="49">
        <v>1300</v>
      </c>
      <c r="D32" s="49">
        <f t="shared" ref="D32" si="55">C32/2000</f>
        <v>0.65</v>
      </c>
      <c r="E32" s="49">
        <v>118989</v>
      </c>
      <c r="F32" s="49">
        <v>69298</v>
      </c>
      <c r="G32" s="49">
        <v>59714</v>
      </c>
      <c r="H32" s="49">
        <f>SUM(F32:G32)</f>
        <v>129012</v>
      </c>
      <c r="I32" s="49">
        <f>J32+K32</f>
        <v>43063</v>
      </c>
      <c r="J32" s="49">
        <v>4827</v>
      </c>
      <c r="K32" s="49">
        <v>38236</v>
      </c>
      <c r="L32" s="49">
        <f>M32+N32</f>
        <v>72548</v>
      </c>
      <c r="M32" s="49">
        <v>51536</v>
      </c>
      <c r="N32" s="49">
        <v>21012</v>
      </c>
      <c r="O32" s="49">
        <f>SUM(J32:N32)</f>
        <v>188159</v>
      </c>
      <c r="P32" s="49">
        <v>6030</v>
      </c>
      <c r="Q32" s="49">
        <v>21012</v>
      </c>
      <c r="R32" s="49">
        <v>37623</v>
      </c>
      <c r="S32" s="49">
        <v>23534</v>
      </c>
      <c r="T32" s="49">
        <f>SUM(P32:S32)</f>
        <v>88199</v>
      </c>
      <c r="U32" s="49">
        <v>9438</v>
      </c>
      <c r="V32" s="49">
        <v>42601</v>
      </c>
      <c r="W32" s="49">
        <v>62380</v>
      </c>
      <c r="X32" s="49">
        <v>17789</v>
      </c>
      <c r="Y32" s="49">
        <f>SUM(U32:X32)</f>
        <v>132208</v>
      </c>
      <c r="Z32" s="49">
        <v>4306</v>
      </c>
      <c r="AA32" s="49">
        <v>35489</v>
      </c>
      <c r="AB32" s="49">
        <v>50490</v>
      </c>
      <c r="AC32" s="49">
        <v>18864</v>
      </c>
      <c r="AD32" s="49">
        <f t="shared" ref="AD32" si="56">Z32+AA32+AB32+AC32</f>
        <v>109149</v>
      </c>
      <c r="AE32" s="49">
        <v>4237</v>
      </c>
      <c r="AF32" s="49">
        <v>37303</v>
      </c>
      <c r="AG32" s="49">
        <v>50865</v>
      </c>
      <c r="AH32" s="49">
        <v>38683</v>
      </c>
      <c r="AI32" s="49">
        <f t="shared" ref="AI32" si="57">SUM(AE32:AH32)</f>
        <v>131088</v>
      </c>
      <c r="AJ32" s="49">
        <v>7796</v>
      </c>
      <c r="AK32" s="49">
        <v>19900</v>
      </c>
      <c r="AL32" s="49">
        <v>6594</v>
      </c>
      <c r="AM32" s="49">
        <v>20851</v>
      </c>
      <c r="AN32" s="49">
        <f t="shared" ref="AN32" si="58">SUM(AJ32:AM32)</f>
        <v>55141</v>
      </c>
      <c r="AO32" s="49">
        <v>4687</v>
      </c>
      <c r="AP32" s="49">
        <v>27261</v>
      </c>
      <c r="AQ32" s="49">
        <v>35694</v>
      </c>
      <c r="AR32" s="49">
        <v>19659</v>
      </c>
      <c r="AS32" s="49">
        <f t="shared" ref="AS32" si="59">SUM(AO32:AR32)</f>
        <v>87301</v>
      </c>
      <c r="AT32" s="49">
        <v>8235</v>
      </c>
      <c r="AU32" s="49">
        <v>37854</v>
      </c>
      <c r="AV32" s="49">
        <v>38439</v>
      </c>
      <c r="AW32" s="49">
        <v>15321</v>
      </c>
      <c r="AX32" s="49">
        <f t="shared" ref="AX32" si="60">SUM(AT32:AW32)</f>
        <v>99849</v>
      </c>
      <c r="AY32" s="49">
        <v>4840</v>
      </c>
      <c r="AZ32" s="49">
        <v>25694</v>
      </c>
      <c r="BA32" s="49">
        <v>26880</v>
      </c>
      <c r="BB32" s="49">
        <v>33228</v>
      </c>
      <c r="BC32" s="49">
        <f t="shared" ref="BC32" si="61">SUM(AY32:BB32)</f>
        <v>90642</v>
      </c>
      <c r="BD32" s="49">
        <v>21864</v>
      </c>
      <c r="BE32" s="49">
        <v>70605</v>
      </c>
      <c r="BF32" s="49">
        <v>67270</v>
      </c>
      <c r="BG32" s="49">
        <v>15171</v>
      </c>
      <c r="BH32" s="49">
        <f t="shared" ref="BH32" si="62">SUM(BD32:BG32)</f>
        <v>174910</v>
      </c>
      <c r="BI32" s="49">
        <v>16472.5</v>
      </c>
      <c r="BJ32" s="49">
        <v>77525</v>
      </c>
      <c r="BK32" s="49">
        <v>61966</v>
      </c>
      <c r="BL32" s="49">
        <v>30629</v>
      </c>
      <c r="BM32" s="49">
        <f t="shared" ref="BM32" si="63">SUM(BI32:BL32)</f>
        <v>186592.5</v>
      </c>
      <c r="BN32" s="49">
        <f t="shared" ref="BN32" si="64">SUM(BO32:BP32)</f>
        <v>81063</v>
      </c>
      <c r="BO32" s="49">
        <v>14679</v>
      </c>
      <c r="BP32" s="49">
        <v>66384</v>
      </c>
      <c r="BQ32" s="49">
        <v>68649</v>
      </c>
      <c r="BR32" s="49">
        <v>9030</v>
      </c>
      <c r="BS32" s="47">
        <f t="shared" ref="BS32" si="65">SUM(BO32:BR32)</f>
        <v>158742</v>
      </c>
      <c r="BT32" s="49">
        <v>12738.999949999999</v>
      </c>
      <c r="BU32" s="49">
        <v>46146.232550000001</v>
      </c>
      <c r="BV32" s="49">
        <v>34751.325239999998</v>
      </c>
      <c r="BW32" s="47">
        <f t="shared" ref="BW32" si="66">SUM(BR32:BV32)</f>
        <v>261408.55773999999</v>
      </c>
      <c r="BX32" s="49">
        <v>22568</v>
      </c>
      <c r="BY32" s="49">
        <v>5932</v>
      </c>
      <c r="BZ32" s="49">
        <v>49506</v>
      </c>
      <c r="CA32" s="49">
        <v>34753</v>
      </c>
      <c r="CB32" s="47">
        <f t="shared" ref="CB32" si="67">SUM(BX32:CA32)</f>
        <v>112759</v>
      </c>
      <c r="CC32" s="49">
        <v>17060</v>
      </c>
      <c r="CD32" s="49">
        <v>5773</v>
      </c>
      <c r="CE32" s="49">
        <v>38591</v>
      </c>
      <c r="CF32" s="49">
        <v>48352</v>
      </c>
      <c r="CG32" s="47">
        <f t="shared" ref="CG32" si="68">SUM(CC32:CF32)</f>
        <v>109776</v>
      </c>
      <c r="CH32" s="49">
        <v>15108</v>
      </c>
      <c r="CI32" s="49">
        <v>6049</v>
      </c>
      <c r="CJ32" s="49">
        <v>45780</v>
      </c>
      <c r="CK32" s="70">
        <v>21678</v>
      </c>
      <c r="CL32" s="47">
        <f t="shared" ref="CL32" si="69">SUM(CH32:CK32)</f>
        <v>88615</v>
      </c>
      <c r="CM32" s="171">
        <v>300</v>
      </c>
      <c r="CN32" s="168">
        <v>0</v>
      </c>
      <c r="CO32" s="168">
        <v>2741</v>
      </c>
      <c r="CP32" s="168">
        <v>0</v>
      </c>
      <c r="CQ32" s="47">
        <f t="shared" ref="CQ32" si="70">SUM(CM32:CP32)</f>
        <v>3041</v>
      </c>
      <c r="CR32" s="168"/>
      <c r="CS32" s="168"/>
      <c r="CT32" s="168"/>
      <c r="CU32" s="168"/>
      <c r="CV32" s="47"/>
      <c r="CW32" s="168"/>
      <c r="CX32" s="168"/>
      <c r="CY32" s="168"/>
      <c r="CZ32" s="168"/>
      <c r="DA32" s="47"/>
      <c r="DB32" s="77">
        <v>0</v>
      </c>
      <c r="DC32" s="95"/>
      <c r="DD32" s="95"/>
      <c r="DE32" s="169"/>
      <c r="DF32" s="176"/>
      <c r="DG32" s="77">
        <v>985</v>
      </c>
      <c r="DH32" s="95">
        <v>404</v>
      </c>
      <c r="DI32" s="95">
        <v>2528</v>
      </c>
      <c r="DJ32" s="169">
        <v>3159</v>
      </c>
      <c r="DK32" s="176">
        <f t="shared" si="29"/>
        <v>7076</v>
      </c>
      <c r="DL32" s="77">
        <v>919</v>
      </c>
      <c r="DM32" s="95">
        <v>7452</v>
      </c>
      <c r="DN32" s="95">
        <v>1202</v>
      </c>
      <c r="DO32" s="169">
        <v>5595</v>
      </c>
      <c r="DP32" s="176">
        <f t="shared" si="30"/>
        <v>15168</v>
      </c>
      <c r="DQ32" s="77">
        <v>708</v>
      </c>
      <c r="DR32" s="95">
        <v>387</v>
      </c>
      <c r="DS32" s="95">
        <v>4271</v>
      </c>
      <c r="DT32" s="169">
        <v>18525</v>
      </c>
      <c r="DU32" s="176">
        <f t="shared" si="31"/>
        <v>23891</v>
      </c>
      <c r="DV32" s="77">
        <v>158</v>
      </c>
      <c r="DW32" s="95">
        <v>262</v>
      </c>
      <c r="DX32" s="95">
        <v>29455</v>
      </c>
      <c r="DY32" s="169">
        <v>0</v>
      </c>
      <c r="DZ32" s="176">
        <f t="shared" si="32"/>
        <v>29875</v>
      </c>
    </row>
    <row r="33" spans="1:130" x14ac:dyDescent="0.25">
      <c r="A33" s="49" t="s">
        <v>180</v>
      </c>
      <c r="B33" s="49" t="s">
        <v>181</v>
      </c>
      <c r="C33" s="49">
        <v>1300</v>
      </c>
      <c r="D33" s="49">
        <f t="shared" ref="D33" si="71">C33/2000</f>
        <v>0.65</v>
      </c>
      <c r="E33" s="49">
        <v>118989</v>
      </c>
      <c r="F33" s="49">
        <v>69298</v>
      </c>
      <c r="G33" s="49">
        <v>59714</v>
      </c>
      <c r="H33" s="49">
        <f>SUM(F33:G33)</f>
        <v>129012</v>
      </c>
      <c r="I33" s="49">
        <f>J33+K33</f>
        <v>43063</v>
      </c>
      <c r="J33" s="49">
        <v>4827</v>
      </c>
      <c r="K33" s="49">
        <v>38236</v>
      </c>
      <c r="L33" s="49">
        <f>M33+N33</f>
        <v>72548</v>
      </c>
      <c r="M33" s="49">
        <v>51536</v>
      </c>
      <c r="N33" s="49">
        <v>21012</v>
      </c>
      <c r="O33" s="49">
        <f>SUM(J33:N33)</f>
        <v>188159</v>
      </c>
      <c r="P33" s="49">
        <v>6030</v>
      </c>
      <c r="Q33" s="49">
        <v>21012</v>
      </c>
      <c r="R33" s="49">
        <v>37623</v>
      </c>
      <c r="S33" s="49">
        <v>23534</v>
      </c>
      <c r="T33" s="49">
        <f>SUM(P33:S33)</f>
        <v>88199</v>
      </c>
      <c r="U33" s="49">
        <v>9438</v>
      </c>
      <c r="V33" s="49">
        <v>42601</v>
      </c>
      <c r="W33" s="49">
        <v>62380</v>
      </c>
      <c r="X33" s="49">
        <v>17789</v>
      </c>
      <c r="Y33" s="49">
        <f>SUM(U33:X33)</f>
        <v>132208</v>
      </c>
      <c r="Z33" s="49">
        <v>4306</v>
      </c>
      <c r="AA33" s="49">
        <v>35489</v>
      </c>
      <c r="AB33" s="49">
        <v>50490</v>
      </c>
      <c r="AC33" s="49">
        <v>18864</v>
      </c>
      <c r="AD33" s="49">
        <f t="shared" ref="AD33" si="72">Z33+AA33+AB33+AC33</f>
        <v>109149</v>
      </c>
      <c r="AE33" s="49">
        <v>4237</v>
      </c>
      <c r="AF33" s="49">
        <v>37303</v>
      </c>
      <c r="AG33" s="49">
        <v>50865</v>
      </c>
      <c r="AH33" s="49">
        <v>38683</v>
      </c>
      <c r="AI33" s="49">
        <f t="shared" ref="AI33" si="73">SUM(AE33:AH33)</f>
        <v>131088</v>
      </c>
      <c r="AJ33" s="49">
        <v>7796</v>
      </c>
      <c r="AK33" s="49">
        <v>19900</v>
      </c>
      <c r="AL33" s="49">
        <v>6594</v>
      </c>
      <c r="AM33" s="49">
        <v>20851</v>
      </c>
      <c r="AN33" s="49">
        <f t="shared" ref="AN33" si="74">SUM(AJ33:AM33)</f>
        <v>55141</v>
      </c>
      <c r="AO33" s="49">
        <v>4687</v>
      </c>
      <c r="AP33" s="49">
        <v>27261</v>
      </c>
      <c r="AQ33" s="49">
        <v>35694</v>
      </c>
      <c r="AR33" s="49">
        <v>19659</v>
      </c>
      <c r="AS33" s="49">
        <f t="shared" ref="AS33" si="75">SUM(AO33:AR33)</f>
        <v>87301</v>
      </c>
      <c r="AT33" s="49">
        <v>8235</v>
      </c>
      <c r="AU33" s="49">
        <v>37854</v>
      </c>
      <c r="AV33" s="49">
        <v>38439</v>
      </c>
      <c r="AW33" s="49">
        <v>15321</v>
      </c>
      <c r="AX33" s="49">
        <f t="shared" ref="AX33" si="76">SUM(AT33:AW33)</f>
        <v>99849</v>
      </c>
      <c r="AY33" s="49">
        <v>4840</v>
      </c>
      <c r="AZ33" s="49">
        <v>25694</v>
      </c>
      <c r="BA33" s="49">
        <v>26880</v>
      </c>
      <c r="BB33" s="49">
        <v>33228</v>
      </c>
      <c r="BC33" s="49">
        <f t="shared" ref="BC33" si="77">SUM(AY33:BB33)</f>
        <v>90642</v>
      </c>
      <c r="BD33" s="49">
        <v>21864</v>
      </c>
      <c r="BE33" s="49">
        <v>70605</v>
      </c>
      <c r="BF33" s="49">
        <v>67270</v>
      </c>
      <c r="BG33" s="49">
        <v>15171</v>
      </c>
      <c r="BH33" s="49">
        <f t="shared" ref="BH33" si="78">SUM(BD33:BG33)</f>
        <v>174910</v>
      </c>
      <c r="BI33" s="49">
        <v>16472.5</v>
      </c>
      <c r="BJ33" s="49">
        <v>77525</v>
      </c>
      <c r="BK33" s="49">
        <v>61966</v>
      </c>
      <c r="BL33" s="49">
        <v>30629</v>
      </c>
      <c r="BM33" s="49">
        <f t="shared" ref="BM33" si="79">SUM(BI33:BL33)</f>
        <v>186592.5</v>
      </c>
      <c r="BN33" s="49">
        <f t="shared" ref="BN33" si="80">SUM(BO33:BP33)</f>
        <v>81063</v>
      </c>
      <c r="BO33" s="49">
        <v>14679</v>
      </c>
      <c r="BP33" s="49">
        <v>66384</v>
      </c>
      <c r="BQ33" s="49">
        <v>68649</v>
      </c>
      <c r="BR33" s="49">
        <v>9030</v>
      </c>
      <c r="BS33" s="47">
        <f t="shared" ref="BS33" si="81">SUM(BO33:BR33)</f>
        <v>158742</v>
      </c>
      <c r="BT33" s="49">
        <v>12738.999949999999</v>
      </c>
      <c r="BU33" s="49">
        <v>46146.232550000001</v>
      </c>
      <c r="BV33" s="49">
        <v>34751.325239999998</v>
      </c>
      <c r="BW33" s="47">
        <f t="shared" ref="BW33" si="82">SUM(BR33:BV33)</f>
        <v>261408.55773999999</v>
      </c>
      <c r="BX33" s="49">
        <v>22568</v>
      </c>
      <c r="BY33" s="49">
        <v>5932</v>
      </c>
      <c r="BZ33" s="49">
        <v>49506</v>
      </c>
      <c r="CA33" s="49">
        <v>34753</v>
      </c>
      <c r="CB33" s="47">
        <f t="shared" ref="CB33" si="83">SUM(BX33:CA33)</f>
        <v>112759</v>
      </c>
      <c r="CC33" s="49">
        <v>17060</v>
      </c>
      <c r="CD33" s="49">
        <v>5773</v>
      </c>
      <c r="CE33" s="49">
        <v>38591</v>
      </c>
      <c r="CF33" s="49">
        <v>48352</v>
      </c>
      <c r="CG33" s="47">
        <f t="shared" ref="CG33" si="84">SUM(CC33:CF33)</f>
        <v>109776</v>
      </c>
      <c r="CH33" s="49">
        <v>15108</v>
      </c>
      <c r="CI33" s="49">
        <v>6049</v>
      </c>
      <c r="CJ33" s="49">
        <v>45780</v>
      </c>
      <c r="CK33" s="70">
        <v>21678</v>
      </c>
      <c r="CL33" s="47">
        <f t="shared" ref="CL33" si="85">SUM(CH33:CK33)</f>
        <v>88615</v>
      </c>
      <c r="CM33" s="171">
        <v>300</v>
      </c>
      <c r="CN33" s="168">
        <v>0</v>
      </c>
      <c r="CO33" s="168">
        <v>2741</v>
      </c>
      <c r="CP33" s="168">
        <v>0</v>
      </c>
      <c r="CQ33" s="47">
        <f t="shared" ref="CQ33" si="86">SUM(CM33:CP33)</f>
        <v>3041</v>
      </c>
      <c r="CR33" s="168"/>
      <c r="CS33" s="168"/>
      <c r="CT33" s="168"/>
      <c r="CU33" s="168"/>
      <c r="CV33" s="47"/>
      <c r="CW33" s="168"/>
      <c r="CX33" s="168"/>
      <c r="CY33" s="168"/>
      <c r="CZ33" s="168"/>
      <c r="DA33" s="47"/>
      <c r="DB33" s="77">
        <v>0</v>
      </c>
      <c r="DC33" s="95"/>
      <c r="DD33" s="95"/>
      <c r="DE33" s="169"/>
      <c r="DF33" s="176"/>
      <c r="DG33" s="77">
        <v>493</v>
      </c>
      <c r="DH33" s="95">
        <v>473</v>
      </c>
      <c r="DI33" s="95">
        <v>2709</v>
      </c>
      <c r="DJ33" s="169">
        <v>1612</v>
      </c>
      <c r="DK33" s="176">
        <f t="shared" si="29"/>
        <v>5287</v>
      </c>
      <c r="DL33" s="77">
        <v>16</v>
      </c>
      <c r="DM33" s="95">
        <v>2853</v>
      </c>
      <c r="DN33" s="95">
        <v>687</v>
      </c>
      <c r="DO33" s="169">
        <v>34</v>
      </c>
      <c r="DP33" s="176">
        <f t="shared" si="30"/>
        <v>3590</v>
      </c>
      <c r="DQ33" s="77">
        <v>822</v>
      </c>
      <c r="DR33" s="95">
        <v>70</v>
      </c>
      <c r="DS33" s="95">
        <v>3858</v>
      </c>
      <c r="DT33" s="169">
        <v>232</v>
      </c>
      <c r="DU33" s="176">
        <f t="shared" si="31"/>
        <v>4982</v>
      </c>
      <c r="DV33" s="77">
        <v>286</v>
      </c>
      <c r="DW33" s="95">
        <v>2592</v>
      </c>
      <c r="DX33" s="95">
        <v>5790</v>
      </c>
      <c r="DY33" s="169">
        <v>0</v>
      </c>
      <c r="DZ33" s="176">
        <f t="shared" si="32"/>
        <v>8668</v>
      </c>
    </row>
  </sheetData>
  <phoneticPr fontId="8" type="noConversion"/>
  <pageMargins left="0.7" right="0.7" top="0.75" bottom="0.75" header="0.3" footer="0.3"/>
  <pageSetup paperSize="5" scale="65" orientation="landscape" r:id="rId1"/>
  <customProperties>
    <customPr name="GU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2F86-300A-4936-98A7-4D6E29B54F95}">
  <sheetPr>
    <pageSetUpPr fitToPage="1"/>
  </sheetPr>
  <dimension ref="A1:AJ137"/>
  <sheetViews>
    <sheetView zoomScale="74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7.25" customHeight="1" x14ac:dyDescent="0.25"/>
  <cols>
    <col min="1" max="1" width="12" style="105" customWidth="1"/>
    <col min="2" max="2" width="16.85546875" style="105" customWidth="1"/>
    <col min="3" max="3" width="21" style="105" customWidth="1"/>
    <col min="4" max="4" width="18.28515625" style="105" customWidth="1"/>
    <col min="5" max="7" width="18.140625" style="105" customWidth="1"/>
    <col min="8" max="8" width="18.42578125" style="105" customWidth="1"/>
    <col min="9" max="9" width="18.28515625" style="105" customWidth="1"/>
    <col min="10" max="10" width="19.7109375" style="105" customWidth="1"/>
    <col min="11" max="11" width="18.7109375" style="105" customWidth="1"/>
    <col min="12" max="12" width="17.28515625" style="105" customWidth="1"/>
    <col min="13" max="14" width="18.5703125" style="105" customWidth="1"/>
    <col min="15" max="15" width="18" style="105" customWidth="1"/>
    <col min="16" max="16" width="15.5703125" style="105" customWidth="1"/>
    <col min="17" max="17" width="18.140625" style="105" customWidth="1"/>
    <col min="18" max="18" width="18" style="105" customWidth="1"/>
    <col min="19" max="19" width="16.5703125" style="105" customWidth="1"/>
    <col min="20" max="20" width="18" style="105" customWidth="1"/>
    <col min="21" max="21" width="18.140625" style="105" customWidth="1"/>
    <col min="22" max="22" width="18.42578125" style="105" customWidth="1"/>
    <col min="23" max="23" width="18.5703125" style="105" customWidth="1"/>
    <col min="24" max="24" width="17.28515625" style="105" customWidth="1"/>
    <col min="25" max="26" width="18.140625" style="105" customWidth="1"/>
    <col min="27" max="27" width="18.85546875" style="105" customWidth="1"/>
    <col min="28" max="28" width="20" style="105" customWidth="1"/>
    <col min="29" max="29" width="19" style="105" customWidth="1"/>
    <col min="30" max="30" width="18.5703125" style="105" customWidth="1"/>
    <col min="31" max="31" width="19" style="105" customWidth="1"/>
    <col min="32" max="34" width="18.5703125" style="72" customWidth="1"/>
    <col min="35" max="16384" width="9.140625" style="105"/>
  </cols>
  <sheetData>
    <row r="1" spans="1:34" ht="17.25" customHeight="1" x14ac:dyDescent="0.25">
      <c r="A1" s="151" t="s">
        <v>185</v>
      </c>
      <c r="B1" s="151" t="s">
        <v>115</v>
      </c>
      <c r="C1" s="151" t="s">
        <v>117</v>
      </c>
      <c r="D1" s="154" t="s">
        <v>119</v>
      </c>
      <c r="E1" s="151" t="s">
        <v>121</v>
      </c>
      <c r="F1" s="151" t="s">
        <v>123</v>
      </c>
      <c r="G1" s="151" t="s">
        <v>125</v>
      </c>
      <c r="H1" s="151" t="s">
        <v>127</v>
      </c>
      <c r="I1" s="153" t="s">
        <v>129</v>
      </c>
      <c r="J1" s="151" t="s">
        <v>131</v>
      </c>
      <c r="K1" s="153" t="s">
        <v>186</v>
      </c>
      <c r="L1" s="152" t="s">
        <v>135</v>
      </c>
      <c r="M1" s="151" t="s">
        <v>187</v>
      </c>
      <c r="N1" s="151" t="s">
        <v>139</v>
      </c>
      <c r="O1" s="151" t="s">
        <v>141</v>
      </c>
      <c r="P1" s="151" t="s">
        <v>143</v>
      </c>
      <c r="Q1" s="151" t="s">
        <v>144</v>
      </c>
      <c r="R1" s="151" t="s">
        <v>146</v>
      </c>
      <c r="S1" s="151" t="s">
        <v>148</v>
      </c>
      <c r="T1" s="151" t="s">
        <v>150</v>
      </c>
      <c r="U1" s="151" t="s">
        <v>152</v>
      </c>
      <c r="V1" s="151" t="s">
        <v>154</v>
      </c>
      <c r="W1" s="151" t="s">
        <v>188</v>
      </c>
      <c r="X1" s="151" t="s">
        <v>158</v>
      </c>
      <c r="Y1" s="151" t="s">
        <v>160</v>
      </c>
      <c r="Z1" s="151" t="s">
        <v>162</v>
      </c>
      <c r="AA1" s="151" t="s">
        <v>164</v>
      </c>
      <c r="AB1" s="151" t="s">
        <v>166</v>
      </c>
      <c r="AC1" s="151" t="s">
        <v>189</v>
      </c>
      <c r="AD1" s="151" t="s">
        <v>190</v>
      </c>
      <c r="AE1" s="151" t="s">
        <v>174</v>
      </c>
      <c r="AF1" s="71" t="s">
        <v>176</v>
      </c>
      <c r="AG1" s="71" t="s">
        <v>178</v>
      </c>
      <c r="AH1" s="71" t="s">
        <v>180</v>
      </c>
    </row>
    <row r="2" spans="1:34" ht="17.25" customHeight="1" x14ac:dyDescent="0.25">
      <c r="A2" s="150" t="s">
        <v>191</v>
      </c>
      <c r="B2" s="139">
        <v>743</v>
      </c>
      <c r="C2" s="139">
        <v>345</v>
      </c>
      <c r="D2" s="139">
        <v>19425</v>
      </c>
      <c r="E2" s="173">
        <v>7</v>
      </c>
      <c r="F2" s="139">
        <v>14060</v>
      </c>
      <c r="G2" s="139">
        <v>4393</v>
      </c>
      <c r="H2" s="139">
        <v>28295</v>
      </c>
      <c r="I2" s="139">
        <v>2133</v>
      </c>
      <c r="J2" s="139">
        <v>53470</v>
      </c>
      <c r="K2" s="139">
        <v>2363</v>
      </c>
      <c r="L2" s="139">
        <v>3077</v>
      </c>
      <c r="M2" s="139">
        <v>0</v>
      </c>
      <c r="N2" s="139">
        <v>3191</v>
      </c>
      <c r="O2" s="139">
        <v>374</v>
      </c>
      <c r="P2" s="139">
        <v>0</v>
      </c>
      <c r="Q2" s="139">
        <v>504</v>
      </c>
      <c r="R2" s="139">
        <v>6656</v>
      </c>
      <c r="S2" s="139">
        <v>7332</v>
      </c>
      <c r="T2" s="139">
        <v>45337</v>
      </c>
      <c r="U2" s="139">
        <v>4977</v>
      </c>
      <c r="V2" s="139">
        <v>3169</v>
      </c>
      <c r="W2" s="139">
        <v>0</v>
      </c>
      <c r="X2" s="139">
        <v>46616</v>
      </c>
      <c r="Y2" s="139">
        <v>9998</v>
      </c>
      <c r="Z2" s="139">
        <v>10274</v>
      </c>
      <c r="AA2" s="139">
        <v>12584</v>
      </c>
      <c r="AB2" s="139">
        <v>5965</v>
      </c>
      <c r="AC2" s="139">
        <v>40973</v>
      </c>
      <c r="AD2" s="139">
        <v>1599</v>
      </c>
      <c r="AE2" s="111">
        <v>133</v>
      </c>
      <c r="AF2" s="183">
        <v>0</v>
      </c>
      <c r="AG2" s="183">
        <v>11</v>
      </c>
      <c r="AH2" s="183">
        <v>1</v>
      </c>
    </row>
    <row r="3" spans="1:34" ht="17.25" customHeight="1" x14ac:dyDescent="0.25">
      <c r="A3" s="150" t="s">
        <v>192</v>
      </c>
      <c r="B3" s="139">
        <v>308</v>
      </c>
      <c r="C3" s="139">
        <v>77</v>
      </c>
      <c r="D3" s="139">
        <v>13275</v>
      </c>
      <c r="E3" s="139">
        <v>516</v>
      </c>
      <c r="F3" s="139">
        <v>22208</v>
      </c>
      <c r="G3" s="139">
        <v>1084</v>
      </c>
      <c r="H3" s="139">
        <v>20279</v>
      </c>
      <c r="I3" s="139">
        <v>1285</v>
      </c>
      <c r="J3" s="139">
        <v>27332</v>
      </c>
      <c r="K3" s="139">
        <v>5396</v>
      </c>
      <c r="L3" s="139">
        <v>77</v>
      </c>
      <c r="M3" s="139">
        <v>0</v>
      </c>
      <c r="N3" s="139">
        <v>3823</v>
      </c>
      <c r="O3" s="139">
        <v>366</v>
      </c>
      <c r="P3" s="139">
        <v>0</v>
      </c>
      <c r="Q3" s="139">
        <v>223</v>
      </c>
      <c r="R3" s="139">
        <v>12818</v>
      </c>
      <c r="S3" s="139">
        <v>2205</v>
      </c>
      <c r="T3" s="139">
        <v>18836</v>
      </c>
      <c r="U3" s="139">
        <v>4512</v>
      </c>
      <c r="V3" s="139">
        <v>5247</v>
      </c>
      <c r="W3" s="139">
        <v>4001</v>
      </c>
      <c r="X3" s="139">
        <v>259943</v>
      </c>
      <c r="Y3" s="139">
        <v>106</v>
      </c>
      <c r="Z3" s="139">
        <v>12111</v>
      </c>
      <c r="AA3" s="139">
        <v>9700</v>
      </c>
      <c r="AB3" s="139">
        <v>5762</v>
      </c>
      <c r="AC3" s="139">
        <v>16778</v>
      </c>
      <c r="AD3" s="139">
        <v>1117</v>
      </c>
      <c r="AE3" s="111">
        <v>110</v>
      </c>
      <c r="AF3" s="181">
        <v>0</v>
      </c>
      <c r="AG3" s="181">
        <v>631</v>
      </c>
      <c r="AH3" s="181">
        <v>2</v>
      </c>
    </row>
    <row r="4" spans="1:34" ht="17.25" customHeight="1" thickBot="1" x14ac:dyDescent="0.3">
      <c r="A4" s="149" t="s">
        <v>193</v>
      </c>
      <c r="B4" s="136">
        <v>272</v>
      </c>
      <c r="C4" s="136">
        <v>142</v>
      </c>
      <c r="D4" s="136">
        <v>0</v>
      </c>
      <c r="E4" s="136">
        <v>600</v>
      </c>
      <c r="F4" s="136">
        <v>70388</v>
      </c>
      <c r="G4" s="136">
        <v>19221</v>
      </c>
      <c r="H4" s="136">
        <v>11225</v>
      </c>
      <c r="I4" s="136">
        <v>695</v>
      </c>
      <c r="J4" s="136">
        <v>16710</v>
      </c>
      <c r="K4" s="136">
        <v>3521</v>
      </c>
      <c r="L4" s="136">
        <v>9957</v>
      </c>
      <c r="M4" s="136">
        <v>0</v>
      </c>
      <c r="N4" s="136">
        <v>11561</v>
      </c>
      <c r="O4" s="136">
        <v>582</v>
      </c>
      <c r="P4" s="136">
        <v>0</v>
      </c>
      <c r="Q4" s="136">
        <v>1473</v>
      </c>
      <c r="R4" s="136">
        <v>15034</v>
      </c>
      <c r="S4" s="136">
        <v>12433</v>
      </c>
      <c r="T4" s="136">
        <v>9775</v>
      </c>
      <c r="U4" s="136">
        <v>1937</v>
      </c>
      <c r="V4" s="136">
        <v>8122</v>
      </c>
      <c r="W4" s="136">
        <v>6658</v>
      </c>
      <c r="X4" s="136">
        <v>48215</v>
      </c>
      <c r="Y4" s="136">
        <v>25064</v>
      </c>
      <c r="Z4" s="136">
        <v>29048</v>
      </c>
      <c r="AA4" s="136">
        <v>54170</v>
      </c>
      <c r="AB4" s="136">
        <v>2522</v>
      </c>
      <c r="AC4" s="136">
        <v>8429</v>
      </c>
      <c r="AD4" s="136">
        <v>2440</v>
      </c>
      <c r="AE4" s="108">
        <v>104</v>
      </c>
      <c r="AF4" s="182">
        <v>0</v>
      </c>
      <c r="AG4" s="182">
        <v>277</v>
      </c>
      <c r="AH4" s="182">
        <v>13</v>
      </c>
    </row>
    <row r="5" spans="1:34" ht="17.25" customHeight="1" x14ac:dyDescent="0.25">
      <c r="A5" s="148" t="s">
        <v>194</v>
      </c>
      <c r="B5" s="147">
        <v>8588</v>
      </c>
      <c r="C5" s="147">
        <v>1379</v>
      </c>
      <c r="D5" s="147">
        <v>19495</v>
      </c>
      <c r="E5" s="147">
        <v>1458</v>
      </c>
      <c r="F5" s="147">
        <v>234857</v>
      </c>
      <c r="G5" s="147">
        <v>784</v>
      </c>
      <c r="H5" s="147">
        <v>13771</v>
      </c>
      <c r="I5" s="147">
        <v>4539</v>
      </c>
      <c r="J5" s="147">
        <v>15</v>
      </c>
      <c r="K5" s="147">
        <v>2190</v>
      </c>
      <c r="L5" s="147">
        <v>8379</v>
      </c>
      <c r="M5" s="147">
        <v>0</v>
      </c>
      <c r="N5" s="147">
        <v>8417</v>
      </c>
      <c r="O5" s="147">
        <v>76</v>
      </c>
      <c r="P5" s="147">
        <v>0</v>
      </c>
      <c r="Q5" s="147">
        <v>765</v>
      </c>
      <c r="R5" s="147">
        <v>74519</v>
      </c>
      <c r="S5" s="147">
        <v>0</v>
      </c>
      <c r="T5" s="147">
        <v>3773</v>
      </c>
      <c r="U5" s="147">
        <v>2056</v>
      </c>
      <c r="V5" s="147">
        <v>6350</v>
      </c>
      <c r="W5" s="147">
        <v>4805</v>
      </c>
      <c r="X5" s="147">
        <v>280219</v>
      </c>
      <c r="Y5" s="147">
        <v>60000</v>
      </c>
      <c r="Z5" s="147">
        <v>142867</v>
      </c>
      <c r="AA5" s="147">
        <v>98959</v>
      </c>
      <c r="AB5" s="147">
        <v>4793</v>
      </c>
      <c r="AC5" s="147">
        <v>1534</v>
      </c>
      <c r="AD5" s="147">
        <v>1289</v>
      </c>
      <c r="AE5" s="91">
        <v>1188</v>
      </c>
      <c r="AF5" s="180">
        <v>2404</v>
      </c>
      <c r="AG5" s="180">
        <v>5390</v>
      </c>
      <c r="AH5" s="180">
        <v>52</v>
      </c>
    </row>
    <row r="6" spans="1:34" ht="17.25" customHeight="1" x14ac:dyDescent="0.25">
      <c r="A6" s="132" t="s">
        <v>195</v>
      </c>
      <c r="B6" s="139">
        <v>81206</v>
      </c>
      <c r="C6" s="139">
        <v>1679</v>
      </c>
      <c r="D6" s="139">
        <v>9597</v>
      </c>
      <c r="E6" s="139">
        <v>3224</v>
      </c>
      <c r="F6" s="139">
        <v>471679</v>
      </c>
      <c r="G6" s="139">
        <v>3765</v>
      </c>
      <c r="H6" s="139">
        <v>21191</v>
      </c>
      <c r="I6" s="139">
        <v>5614</v>
      </c>
      <c r="J6" s="139">
        <v>0</v>
      </c>
      <c r="K6" s="139">
        <v>4853</v>
      </c>
      <c r="L6" s="139">
        <v>15856</v>
      </c>
      <c r="M6" s="139">
        <v>0</v>
      </c>
      <c r="N6" s="139">
        <v>36763</v>
      </c>
      <c r="O6" s="139">
        <v>91</v>
      </c>
      <c r="P6" s="139">
        <v>0</v>
      </c>
      <c r="Q6" s="139">
        <v>1556</v>
      </c>
      <c r="R6" s="139">
        <v>140477</v>
      </c>
      <c r="S6" s="139">
        <v>0</v>
      </c>
      <c r="T6" s="139">
        <v>7158</v>
      </c>
      <c r="U6" s="139">
        <v>1765</v>
      </c>
      <c r="V6" s="139">
        <v>5408</v>
      </c>
      <c r="W6" s="139">
        <v>7548</v>
      </c>
      <c r="X6" s="139">
        <v>162414</v>
      </c>
      <c r="Y6" s="139">
        <v>125010</v>
      </c>
      <c r="Z6" s="139">
        <v>219996</v>
      </c>
      <c r="AA6" s="139">
        <v>202613</v>
      </c>
      <c r="AB6" s="139">
        <v>20622</v>
      </c>
      <c r="AC6" s="139">
        <v>3107</v>
      </c>
      <c r="AD6" s="139">
        <v>1331</v>
      </c>
      <c r="AE6" s="111">
        <v>9034</v>
      </c>
      <c r="AF6" s="181">
        <v>3537</v>
      </c>
      <c r="AG6" s="181">
        <v>335</v>
      </c>
      <c r="AH6" s="181">
        <v>1416</v>
      </c>
    </row>
    <row r="7" spans="1:34" ht="17.25" customHeight="1" thickBot="1" x14ac:dyDescent="0.3">
      <c r="A7" s="146" t="s">
        <v>196</v>
      </c>
      <c r="B7" s="136">
        <v>127561</v>
      </c>
      <c r="C7" s="136">
        <v>2415</v>
      </c>
      <c r="D7" s="136">
        <v>0</v>
      </c>
      <c r="E7" s="136">
        <v>3294</v>
      </c>
      <c r="F7" s="136">
        <v>430067</v>
      </c>
      <c r="G7" s="136">
        <v>6946</v>
      </c>
      <c r="H7" s="136">
        <v>27936</v>
      </c>
      <c r="I7" s="136">
        <v>7818</v>
      </c>
      <c r="J7" s="136">
        <v>29253</v>
      </c>
      <c r="K7" s="136">
        <v>2791</v>
      </c>
      <c r="L7" s="136">
        <v>36010</v>
      </c>
      <c r="M7" s="136">
        <v>0</v>
      </c>
      <c r="N7" s="136">
        <v>13352</v>
      </c>
      <c r="O7" s="136">
        <v>895</v>
      </c>
      <c r="P7" s="136">
        <v>0</v>
      </c>
      <c r="Q7" s="136">
        <v>2416</v>
      </c>
      <c r="R7" s="136">
        <v>137513</v>
      </c>
      <c r="S7" s="136">
        <v>2151</v>
      </c>
      <c r="T7" s="136">
        <v>19903</v>
      </c>
      <c r="U7" s="136">
        <v>1831</v>
      </c>
      <c r="V7" s="136">
        <v>2630</v>
      </c>
      <c r="W7" s="136">
        <v>14543</v>
      </c>
      <c r="X7" s="136">
        <v>281985</v>
      </c>
      <c r="Y7" s="136">
        <v>125002</v>
      </c>
      <c r="Z7" s="136">
        <v>212994</v>
      </c>
      <c r="AA7" s="136">
        <v>159713</v>
      </c>
      <c r="AB7" s="136">
        <v>22958</v>
      </c>
      <c r="AC7" s="136">
        <v>16023</v>
      </c>
      <c r="AD7" s="136">
        <v>810</v>
      </c>
      <c r="AE7" s="164">
        <v>14095</v>
      </c>
      <c r="AF7" s="182">
        <v>2803</v>
      </c>
      <c r="AG7" s="182">
        <v>1727</v>
      </c>
      <c r="AH7" s="182">
        <v>1385</v>
      </c>
    </row>
    <row r="8" spans="1:34" ht="17.25" customHeight="1" x14ac:dyDescent="0.25">
      <c r="A8" s="145" t="s">
        <v>197</v>
      </c>
      <c r="B8" s="142">
        <v>71564</v>
      </c>
      <c r="C8" s="142">
        <v>7301</v>
      </c>
      <c r="D8" s="142">
        <v>5976</v>
      </c>
      <c r="E8" s="142">
        <v>4157</v>
      </c>
      <c r="F8" s="142">
        <v>397825</v>
      </c>
      <c r="G8" s="142">
        <v>8865</v>
      </c>
      <c r="H8" s="142">
        <v>25614</v>
      </c>
      <c r="I8" s="142">
        <v>4692</v>
      </c>
      <c r="J8" s="142">
        <v>0</v>
      </c>
      <c r="K8" s="142">
        <v>5487</v>
      </c>
      <c r="L8" s="142">
        <v>46854</v>
      </c>
      <c r="M8" s="142">
        <v>0</v>
      </c>
      <c r="N8" s="142">
        <v>8353</v>
      </c>
      <c r="O8" s="142">
        <v>3203</v>
      </c>
      <c r="P8" s="142">
        <v>0</v>
      </c>
      <c r="Q8" s="142">
        <v>5115</v>
      </c>
      <c r="R8" s="142">
        <v>108778</v>
      </c>
      <c r="S8" s="142">
        <v>1733</v>
      </c>
      <c r="T8" s="142">
        <v>2669</v>
      </c>
      <c r="U8" s="142">
        <v>6780</v>
      </c>
      <c r="V8" s="142">
        <v>4979</v>
      </c>
      <c r="W8" s="142">
        <v>10713</v>
      </c>
      <c r="X8" s="142">
        <v>141952</v>
      </c>
      <c r="Y8" s="142">
        <v>95010</v>
      </c>
      <c r="Z8" s="142">
        <v>196070</v>
      </c>
      <c r="AA8" s="142">
        <v>134625</v>
      </c>
      <c r="AB8" s="142">
        <v>21666</v>
      </c>
      <c r="AC8" s="142">
        <v>3442</v>
      </c>
      <c r="AD8" s="142">
        <v>7200</v>
      </c>
      <c r="AE8" s="166">
        <v>7889</v>
      </c>
      <c r="AF8" s="180">
        <v>12</v>
      </c>
      <c r="AG8" s="180">
        <v>986</v>
      </c>
      <c r="AH8" s="180">
        <v>169</v>
      </c>
    </row>
    <row r="9" spans="1:34" ht="17.25" customHeight="1" x14ac:dyDescent="0.25">
      <c r="A9" s="131" t="s">
        <v>198</v>
      </c>
      <c r="B9" s="139">
        <v>1160</v>
      </c>
      <c r="C9" s="139">
        <v>21179</v>
      </c>
      <c r="D9" s="139">
        <v>14303</v>
      </c>
      <c r="E9" s="139">
        <v>8168</v>
      </c>
      <c r="F9" s="139">
        <v>398147</v>
      </c>
      <c r="G9" s="139">
        <v>18349</v>
      </c>
      <c r="H9" s="139">
        <v>60362</v>
      </c>
      <c r="I9" s="139">
        <v>4895</v>
      </c>
      <c r="J9" s="139">
        <v>35222</v>
      </c>
      <c r="K9" s="139">
        <v>5349</v>
      </c>
      <c r="L9" s="139">
        <v>196</v>
      </c>
      <c r="M9" s="139">
        <v>0</v>
      </c>
      <c r="N9" s="139">
        <v>25507</v>
      </c>
      <c r="O9" s="139">
        <v>2779</v>
      </c>
      <c r="P9" s="139">
        <v>0</v>
      </c>
      <c r="Q9" s="139">
        <v>6321</v>
      </c>
      <c r="R9" s="139">
        <v>113207</v>
      </c>
      <c r="S9" s="139">
        <v>22941</v>
      </c>
      <c r="T9" s="139">
        <v>26410</v>
      </c>
      <c r="U9" s="139">
        <v>14033</v>
      </c>
      <c r="V9" s="139">
        <v>4611</v>
      </c>
      <c r="W9" s="139">
        <v>13723</v>
      </c>
      <c r="X9" s="139">
        <v>43900</v>
      </c>
      <c r="Y9" s="139">
        <v>69995</v>
      </c>
      <c r="Z9" s="139">
        <v>202476</v>
      </c>
      <c r="AA9" s="139">
        <v>134069</v>
      </c>
      <c r="AB9" s="139">
        <v>7042</v>
      </c>
      <c r="AC9" s="139">
        <v>19883</v>
      </c>
      <c r="AD9" s="139">
        <v>8438</v>
      </c>
      <c r="AE9" s="165">
        <v>537</v>
      </c>
      <c r="AF9" s="181">
        <v>24</v>
      </c>
      <c r="AG9" s="181">
        <v>76</v>
      </c>
      <c r="AH9" s="181">
        <v>322</v>
      </c>
    </row>
    <row r="10" spans="1:34" ht="17.25" customHeight="1" thickBot="1" x14ac:dyDescent="0.3">
      <c r="A10" s="144" t="s">
        <v>199</v>
      </c>
      <c r="B10" s="136">
        <v>64028</v>
      </c>
      <c r="C10" s="136">
        <v>12709</v>
      </c>
      <c r="D10" s="136">
        <v>32002</v>
      </c>
      <c r="E10" s="136">
        <v>5984</v>
      </c>
      <c r="F10" s="136">
        <v>286313</v>
      </c>
      <c r="G10" s="136">
        <v>4990</v>
      </c>
      <c r="H10" s="136">
        <v>33342</v>
      </c>
      <c r="I10" s="136">
        <v>6906</v>
      </c>
      <c r="J10" s="136">
        <v>57323</v>
      </c>
      <c r="K10" s="136">
        <v>4460</v>
      </c>
      <c r="L10" s="136">
        <v>6519</v>
      </c>
      <c r="M10" s="136">
        <v>0</v>
      </c>
      <c r="N10" s="136">
        <v>9353</v>
      </c>
      <c r="O10" s="136">
        <v>4556</v>
      </c>
      <c r="P10" s="136">
        <v>0</v>
      </c>
      <c r="Q10" s="136">
        <v>6609</v>
      </c>
      <c r="R10" s="136">
        <v>89226</v>
      </c>
      <c r="S10" s="136">
        <v>21046</v>
      </c>
      <c r="T10" s="136">
        <v>39501</v>
      </c>
      <c r="U10" s="136">
        <v>14533</v>
      </c>
      <c r="V10" s="136">
        <v>25573</v>
      </c>
      <c r="W10" s="136">
        <v>442</v>
      </c>
      <c r="X10" s="136">
        <v>82555</v>
      </c>
      <c r="Y10" s="136">
        <v>80003</v>
      </c>
      <c r="Z10" s="136">
        <v>159670</v>
      </c>
      <c r="AA10" s="136">
        <v>173759</v>
      </c>
      <c r="AB10" s="136">
        <v>12344</v>
      </c>
      <c r="AC10" s="136">
        <v>43343</v>
      </c>
      <c r="AD10" s="136">
        <v>3908</v>
      </c>
      <c r="AE10" s="164">
        <v>827</v>
      </c>
      <c r="AF10" s="182">
        <v>2677</v>
      </c>
      <c r="AG10" s="182">
        <v>140</v>
      </c>
      <c r="AH10" s="182">
        <v>196</v>
      </c>
    </row>
    <row r="11" spans="1:34" ht="17.25" customHeight="1" x14ac:dyDescent="0.25">
      <c r="A11" s="143" t="s">
        <v>200</v>
      </c>
      <c r="B11" s="142">
        <v>41914</v>
      </c>
      <c r="C11" s="142">
        <v>515</v>
      </c>
      <c r="D11" s="142">
        <v>28185</v>
      </c>
      <c r="E11" s="142">
        <v>5739</v>
      </c>
      <c r="F11" s="142">
        <v>227375</v>
      </c>
      <c r="G11" s="142">
        <v>2892</v>
      </c>
      <c r="H11" s="142">
        <v>52057</v>
      </c>
      <c r="I11" s="142">
        <v>11291</v>
      </c>
      <c r="J11" s="142">
        <v>24746</v>
      </c>
      <c r="K11" s="142">
        <v>8211</v>
      </c>
      <c r="L11" s="142">
        <v>200</v>
      </c>
      <c r="M11" s="142">
        <v>0</v>
      </c>
      <c r="N11" s="142">
        <v>8787</v>
      </c>
      <c r="O11" s="142">
        <v>2410</v>
      </c>
      <c r="P11" s="142">
        <v>0</v>
      </c>
      <c r="Q11" s="142">
        <v>2482</v>
      </c>
      <c r="R11" s="142">
        <v>57046</v>
      </c>
      <c r="S11" s="142">
        <v>18135</v>
      </c>
      <c r="T11" s="142">
        <v>36520</v>
      </c>
      <c r="U11" s="142">
        <v>4395</v>
      </c>
      <c r="V11" s="142">
        <v>5160</v>
      </c>
      <c r="W11" s="142">
        <v>2794</v>
      </c>
      <c r="X11" s="142">
        <v>179823</v>
      </c>
      <c r="Y11" s="142">
        <v>115010</v>
      </c>
      <c r="Z11" s="142">
        <v>98155</v>
      </c>
      <c r="AA11" s="142">
        <v>193560</v>
      </c>
      <c r="AB11" s="142">
        <v>12580</v>
      </c>
      <c r="AC11" s="142">
        <v>36171</v>
      </c>
      <c r="AD11" s="142">
        <v>6413</v>
      </c>
      <c r="AE11" s="166">
        <v>685</v>
      </c>
      <c r="AF11" s="180">
        <v>0</v>
      </c>
      <c r="AG11" s="180">
        <v>98</v>
      </c>
      <c r="AH11" s="180">
        <v>2</v>
      </c>
    </row>
    <row r="12" spans="1:34" ht="17.25" customHeight="1" x14ac:dyDescent="0.25">
      <c r="A12" s="141" t="s">
        <v>201</v>
      </c>
      <c r="B12" s="140">
        <v>63318</v>
      </c>
      <c r="C12" s="140">
        <v>6224</v>
      </c>
      <c r="D12" s="139">
        <v>87505</v>
      </c>
      <c r="E12" s="139">
        <v>5683</v>
      </c>
      <c r="F12" s="139">
        <v>182145</v>
      </c>
      <c r="G12" s="139">
        <v>4259</v>
      </c>
      <c r="H12" s="139">
        <v>54671</v>
      </c>
      <c r="I12" s="139">
        <v>7838</v>
      </c>
      <c r="J12" s="139">
        <v>24223</v>
      </c>
      <c r="K12" s="139">
        <v>5322</v>
      </c>
      <c r="L12" s="139">
        <v>303</v>
      </c>
      <c r="M12" s="139">
        <v>0</v>
      </c>
      <c r="N12" s="139">
        <v>67048</v>
      </c>
      <c r="O12" s="139">
        <v>42730</v>
      </c>
      <c r="P12" s="139">
        <v>22000</v>
      </c>
      <c r="Q12" s="139">
        <v>2061</v>
      </c>
      <c r="R12" s="139">
        <v>52786</v>
      </c>
      <c r="S12" s="139">
        <v>17791</v>
      </c>
      <c r="T12" s="139">
        <v>32128</v>
      </c>
      <c r="U12" s="139">
        <v>4082</v>
      </c>
      <c r="V12" s="139">
        <v>7270</v>
      </c>
      <c r="W12" s="139">
        <v>379</v>
      </c>
      <c r="X12" s="139">
        <v>221386</v>
      </c>
      <c r="Y12" s="139">
        <v>100005</v>
      </c>
      <c r="Z12" s="139">
        <v>68996</v>
      </c>
      <c r="AA12" s="139">
        <v>342492</v>
      </c>
      <c r="AB12" s="139">
        <v>24948</v>
      </c>
      <c r="AC12" s="139">
        <v>29212</v>
      </c>
      <c r="AD12" s="139">
        <v>1359</v>
      </c>
      <c r="AE12" s="165">
        <v>663</v>
      </c>
      <c r="AF12" s="181">
        <v>11716</v>
      </c>
      <c r="AG12" s="181">
        <v>5423</v>
      </c>
      <c r="AH12" s="181">
        <v>1</v>
      </c>
    </row>
    <row r="13" spans="1:34" ht="17.25" customHeight="1" thickBot="1" x14ac:dyDescent="0.3">
      <c r="A13" s="130" t="s">
        <v>202</v>
      </c>
      <c r="B13" s="136">
        <v>1181</v>
      </c>
      <c r="C13" s="138">
        <v>241</v>
      </c>
      <c r="D13" s="138">
        <v>9597</v>
      </c>
      <c r="E13" s="136">
        <v>2646</v>
      </c>
      <c r="F13" s="136">
        <v>31864</v>
      </c>
      <c r="G13" s="136">
        <v>315</v>
      </c>
      <c r="H13" s="136">
        <v>25838</v>
      </c>
      <c r="I13" s="136">
        <v>5492</v>
      </c>
      <c r="J13" s="137">
        <v>35648</v>
      </c>
      <c r="K13" s="136">
        <v>7286</v>
      </c>
      <c r="L13" s="136">
        <v>69</v>
      </c>
      <c r="M13" s="136">
        <v>0</v>
      </c>
      <c r="N13" s="136">
        <v>77029</v>
      </c>
      <c r="O13" s="136">
        <v>164</v>
      </c>
      <c r="P13" s="136">
        <v>0</v>
      </c>
      <c r="Q13" s="136">
        <v>1198</v>
      </c>
      <c r="R13" s="136">
        <v>9609</v>
      </c>
      <c r="S13" s="136">
        <v>9802</v>
      </c>
      <c r="T13" s="136">
        <v>25498</v>
      </c>
      <c r="U13" s="136">
        <v>1670</v>
      </c>
      <c r="V13" s="136">
        <v>1687</v>
      </c>
      <c r="W13" s="136">
        <v>3160</v>
      </c>
      <c r="X13" s="136">
        <v>41721</v>
      </c>
      <c r="Y13" s="136">
        <v>0</v>
      </c>
      <c r="Z13" s="136">
        <v>19757</v>
      </c>
      <c r="AA13" s="136">
        <v>18649</v>
      </c>
      <c r="AB13" s="136">
        <v>7164</v>
      </c>
      <c r="AC13" s="136">
        <v>25569</v>
      </c>
      <c r="AD13" s="136">
        <v>479</v>
      </c>
      <c r="AE13" s="164">
        <v>671</v>
      </c>
      <c r="AF13" s="182">
        <v>0</v>
      </c>
      <c r="AG13" s="182">
        <v>74</v>
      </c>
      <c r="AH13" s="182">
        <v>31</v>
      </c>
    </row>
    <row r="14" spans="1:34" ht="17.25" customHeight="1" thickBot="1" x14ac:dyDescent="0.3">
      <c r="A14" s="135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5"/>
      <c r="AF14" s="184"/>
      <c r="AG14" s="184"/>
      <c r="AH14" s="184"/>
    </row>
    <row r="15" spans="1:34" ht="17.25" customHeight="1" x14ac:dyDescent="0.25">
      <c r="A15" s="133" t="s">
        <v>203</v>
      </c>
      <c r="B15" s="91">
        <f>SUM(B2:B4)</f>
        <v>1323</v>
      </c>
      <c r="C15" s="91">
        <f>SUM(C2:C4)</f>
        <v>564</v>
      </c>
      <c r="D15" s="91">
        <f t="shared" ref="D15:M15" si="0">SUM(D2:D4)</f>
        <v>32700</v>
      </c>
      <c r="E15" s="91">
        <f t="shared" si="0"/>
        <v>1123</v>
      </c>
      <c r="F15" s="91">
        <f t="shared" si="0"/>
        <v>106656</v>
      </c>
      <c r="G15" s="91">
        <f t="shared" si="0"/>
        <v>24698</v>
      </c>
      <c r="H15" s="91">
        <f t="shared" si="0"/>
        <v>59799</v>
      </c>
      <c r="I15" s="91">
        <f t="shared" si="0"/>
        <v>4113</v>
      </c>
      <c r="J15" s="91">
        <f t="shared" si="0"/>
        <v>97512</v>
      </c>
      <c r="K15" s="91">
        <f t="shared" si="0"/>
        <v>11280</v>
      </c>
      <c r="L15" s="91">
        <f t="shared" si="0"/>
        <v>13111</v>
      </c>
      <c r="M15" s="91">
        <f t="shared" si="0"/>
        <v>0</v>
      </c>
      <c r="N15" s="91">
        <f>SUM(N2:N4)</f>
        <v>18575</v>
      </c>
      <c r="O15" s="91">
        <f>SUM(O2:O4)</f>
        <v>1322</v>
      </c>
      <c r="P15" s="124" t="s">
        <v>168</v>
      </c>
      <c r="Q15" s="91">
        <f t="shared" ref="Q15:AD15" si="1">SUM(Q2:Q4)</f>
        <v>2200</v>
      </c>
      <c r="R15" s="91">
        <f t="shared" si="1"/>
        <v>34508</v>
      </c>
      <c r="S15" s="91">
        <f t="shared" si="1"/>
        <v>21970</v>
      </c>
      <c r="T15" s="91">
        <f t="shared" si="1"/>
        <v>73948</v>
      </c>
      <c r="U15" s="91">
        <f t="shared" si="1"/>
        <v>11426</v>
      </c>
      <c r="V15" s="91">
        <f t="shared" si="1"/>
        <v>16538</v>
      </c>
      <c r="W15" s="91">
        <f t="shared" si="1"/>
        <v>10659</v>
      </c>
      <c r="X15" s="91">
        <f t="shared" si="1"/>
        <v>354774</v>
      </c>
      <c r="Y15" s="91">
        <f t="shared" si="1"/>
        <v>35168</v>
      </c>
      <c r="Z15" s="91">
        <f t="shared" si="1"/>
        <v>51433</v>
      </c>
      <c r="AA15" s="91">
        <f t="shared" si="1"/>
        <v>76454</v>
      </c>
      <c r="AB15" s="91">
        <f t="shared" si="1"/>
        <v>14249</v>
      </c>
      <c r="AC15" s="91">
        <f t="shared" si="1"/>
        <v>66180</v>
      </c>
      <c r="AD15" s="91">
        <f t="shared" si="1"/>
        <v>5156</v>
      </c>
      <c r="AE15" s="91">
        <f>(SUM(AE2:AE4))</f>
        <v>347</v>
      </c>
      <c r="AF15" s="180">
        <f>(SUM(AF2:AF4))</f>
        <v>0</v>
      </c>
      <c r="AG15" s="180">
        <f>(SUM(AG2:AG4))</f>
        <v>919</v>
      </c>
      <c r="AH15" s="180">
        <f>(SUM(AH2:AH4))</f>
        <v>16</v>
      </c>
    </row>
    <row r="16" spans="1:34" ht="17.25" customHeight="1" x14ac:dyDescent="0.25">
      <c r="A16" s="132" t="s">
        <v>204</v>
      </c>
      <c r="B16" s="111">
        <f>SUM(B5:B7)</f>
        <v>217355</v>
      </c>
      <c r="C16" s="111">
        <f>SUM(C5:C7)</f>
        <v>5473</v>
      </c>
      <c r="D16" s="111">
        <f t="shared" ref="D16:M16" si="2">SUM(D5:D7)</f>
        <v>29092</v>
      </c>
      <c r="E16" s="111">
        <f t="shared" si="2"/>
        <v>7976</v>
      </c>
      <c r="F16" s="111">
        <f t="shared" si="2"/>
        <v>1136603</v>
      </c>
      <c r="G16" s="91">
        <f t="shared" si="2"/>
        <v>11495</v>
      </c>
      <c r="H16" s="111">
        <f t="shared" si="2"/>
        <v>62898</v>
      </c>
      <c r="I16" s="91">
        <f t="shared" si="2"/>
        <v>17971</v>
      </c>
      <c r="J16" s="91">
        <f t="shared" si="2"/>
        <v>29268</v>
      </c>
      <c r="K16" s="91">
        <f t="shared" si="2"/>
        <v>9834</v>
      </c>
      <c r="L16" s="91">
        <f t="shared" si="2"/>
        <v>60245</v>
      </c>
      <c r="M16" s="91">
        <f t="shared" si="2"/>
        <v>0</v>
      </c>
      <c r="N16" s="91">
        <f>SUM(N5:N7)</f>
        <v>58532</v>
      </c>
      <c r="O16" s="91">
        <f>SUM(O5:O7)</f>
        <v>1062</v>
      </c>
      <c r="P16" s="124" t="s">
        <v>168</v>
      </c>
      <c r="Q16" s="91">
        <f t="shared" ref="Q16:AD16" si="3">SUM(Q5:Q7)</f>
        <v>4737</v>
      </c>
      <c r="R16" s="91">
        <f t="shared" si="3"/>
        <v>352509</v>
      </c>
      <c r="S16" s="91">
        <f t="shared" si="3"/>
        <v>2151</v>
      </c>
      <c r="T16" s="91">
        <f t="shared" si="3"/>
        <v>30834</v>
      </c>
      <c r="U16" s="91">
        <f t="shared" si="3"/>
        <v>5652</v>
      </c>
      <c r="V16" s="91">
        <f t="shared" si="3"/>
        <v>14388</v>
      </c>
      <c r="W16" s="91">
        <f t="shared" si="3"/>
        <v>26896</v>
      </c>
      <c r="X16" s="91">
        <f t="shared" si="3"/>
        <v>724618</v>
      </c>
      <c r="Y16" s="91">
        <f t="shared" si="3"/>
        <v>310012</v>
      </c>
      <c r="Z16" s="91">
        <f t="shared" si="3"/>
        <v>575857</v>
      </c>
      <c r="AA16" s="91">
        <f t="shared" si="3"/>
        <v>461285</v>
      </c>
      <c r="AB16" s="91">
        <f t="shared" si="3"/>
        <v>48373</v>
      </c>
      <c r="AC16" s="91">
        <f t="shared" si="3"/>
        <v>20664</v>
      </c>
      <c r="AD16" s="91">
        <f t="shared" si="3"/>
        <v>3430</v>
      </c>
      <c r="AE16" s="111">
        <f>(SUM(AE5:AE7))</f>
        <v>24317</v>
      </c>
      <c r="AF16" s="181">
        <f>(SUM(AF5:AF7))</f>
        <v>8744</v>
      </c>
      <c r="AG16" s="181">
        <f>(SUM(AG5:AG7))</f>
        <v>7452</v>
      </c>
      <c r="AH16" s="181">
        <f>(SUM(AH5:AH7))</f>
        <v>2853</v>
      </c>
    </row>
    <row r="17" spans="1:34" ht="17.25" customHeight="1" x14ac:dyDescent="0.25">
      <c r="A17" s="131" t="s">
        <v>205</v>
      </c>
      <c r="B17" s="111">
        <f t="shared" ref="B17:M17" si="4">SUM(B8:B10)</f>
        <v>136752</v>
      </c>
      <c r="C17" s="111">
        <f>SUM(C8:C10)</f>
        <v>41189</v>
      </c>
      <c r="D17" s="111">
        <f t="shared" si="4"/>
        <v>52281</v>
      </c>
      <c r="E17" s="111">
        <f t="shared" si="4"/>
        <v>18309</v>
      </c>
      <c r="F17" s="111">
        <f t="shared" si="4"/>
        <v>1082285</v>
      </c>
      <c r="G17" s="91">
        <f t="shared" si="4"/>
        <v>32204</v>
      </c>
      <c r="H17" s="111">
        <f t="shared" si="4"/>
        <v>119318</v>
      </c>
      <c r="I17" s="91">
        <f t="shared" si="4"/>
        <v>16493</v>
      </c>
      <c r="J17" s="91">
        <f t="shared" si="4"/>
        <v>92545</v>
      </c>
      <c r="K17" s="91">
        <f t="shared" si="4"/>
        <v>15296</v>
      </c>
      <c r="L17" s="91">
        <f t="shared" si="4"/>
        <v>53569</v>
      </c>
      <c r="M17" s="91">
        <f t="shared" si="4"/>
        <v>0</v>
      </c>
      <c r="N17" s="91">
        <f>SUM(N8:N10)</f>
        <v>43213</v>
      </c>
      <c r="O17" s="91">
        <f>SUM(O8:O10)</f>
        <v>10538</v>
      </c>
      <c r="P17" s="124" t="s">
        <v>168</v>
      </c>
      <c r="Q17" s="91">
        <f t="shared" ref="Q17:AC17" si="5">SUM(Q8:Q10)</f>
        <v>18045</v>
      </c>
      <c r="R17" s="91">
        <f t="shared" si="5"/>
        <v>311211</v>
      </c>
      <c r="S17" s="91">
        <f t="shared" si="5"/>
        <v>45720</v>
      </c>
      <c r="T17" s="91">
        <f t="shared" si="5"/>
        <v>68580</v>
      </c>
      <c r="U17" s="91">
        <f t="shared" si="5"/>
        <v>35346</v>
      </c>
      <c r="V17" s="91">
        <f t="shared" si="5"/>
        <v>35163</v>
      </c>
      <c r="W17" s="91">
        <f t="shared" si="5"/>
        <v>24878</v>
      </c>
      <c r="X17" s="91">
        <f t="shared" si="5"/>
        <v>268407</v>
      </c>
      <c r="Y17" s="91">
        <f t="shared" si="5"/>
        <v>245008</v>
      </c>
      <c r="Z17" s="91">
        <f t="shared" si="5"/>
        <v>558216</v>
      </c>
      <c r="AA17" s="91">
        <f t="shared" si="5"/>
        <v>442453</v>
      </c>
      <c r="AB17" s="91">
        <f t="shared" si="5"/>
        <v>41052</v>
      </c>
      <c r="AC17" s="91">
        <f t="shared" si="5"/>
        <v>66668</v>
      </c>
      <c r="AD17" s="91">
        <f>SUM(AD8:AD10)</f>
        <v>19546</v>
      </c>
      <c r="AE17" s="111">
        <f>(SUM(AE8:AE10))</f>
        <v>9253</v>
      </c>
      <c r="AF17" s="181">
        <f>(SUM(AF8:AF10))</f>
        <v>2713</v>
      </c>
      <c r="AG17" s="181">
        <f>(SUM(AG8:AG10))</f>
        <v>1202</v>
      </c>
      <c r="AH17" s="181">
        <f>(SUM(AH8:AH10))</f>
        <v>687</v>
      </c>
    </row>
    <row r="18" spans="1:34" s="126" customFormat="1" ht="17.25" customHeight="1" thickBot="1" x14ac:dyDescent="0.3">
      <c r="A18" s="130" t="s">
        <v>206</v>
      </c>
      <c r="B18" s="129">
        <f t="shared" ref="B18:M18" si="6">SUM(B11:B13)</f>
        <v>106413</v>
      </c>
      <c r="C18" s="129">
        <f t="shared" si="6"/>
        <v>6980</v>
      </c>
      <c r="D18" s="129">
        <f t="shared" si="6"/>
        <v>125287</v>
      </c>
      <c r="E18" s="129">
        <f t="shared" si="6"/>
        <v>14068</v>
      </c>
      <c r="F18" s="129">
        <f t="shared" si="6"/>
        <v>441384</v>
      </c>
      <c r="G18" s="127">
        <f t="shared" si="6"/>
        <v>7466</v>
      </c>
      <c r="H18" s="129">
        <f t="shared" si="6"/>
        <v>132566</v>
      </c>
      <c r="I18" s="127">
        <f t="shared" si="6"/>
        <v>24621</v>
      </c>
      <c r="J18" s="127">
        <f t="shared" si="6"/>
        <v>84617</v>
      </c>
      <c r="K18" s="127">
        <f t="shared" si="6"/>
        <v>20819</v>
      </c>
      <c r="L18" s="127">
        <f t="shared" si="6"/>
        <v>572</v>
      </c>
      <c r="M18" s="127">
        <f t="shared" si="6"/>
        <v>0</v>
      </c>
      <c r="N18" s="127">
        <f>SUM(N11:N13)</f>
        <v>152864</v>
      </c>
      <c r="O18" s="127">
        <f>SUM(O11:O13)</f>
        <v>45304</v>
      </c>
      <c r="P18" s="128" t="s">
        <v>168</v>
      </c>
      <c r="Q18" s="127">
        <f t="shared" ref="Q18:AD18" si="7">SUM(Q11:Q13)</f>
        <v>5741</v>
      </c>
      <c r="R18" s="127">
        <f t="shared" si="7"/>
        <v>119441</v>
      </c>
      <c r="S18" s="127">
        <f t="shared" si="7"/>
        <v>45728</v>
      </c>
      <c r="T18" s="127">
        <f t="shared" si="7"/>
        <v>94146</v>
      </c>
      <c r="U18" s="127">
        <f t="shared" si="7"/>
        <v>10147</v>
      </c>
      <c r="V18" s="127">
        <f t="shared" si="7"/>
        <v>14117</v>
      </c>
      <c r="W18" s="127">
        <f t="shared" si="7"/>
        <v>6333</v>
      </c>
      <c r="X18" s="127">
        <f t="shared" si="7"/>
        <v>442930</v>
      </c>
      <c r="Y18" s="127">
        <f t="shared" si="7"/>
        <v>215015</v>
      </c>
      <c r="Z18" s="127">
        <f t="shared" si="7"/>
        <v>186908</v>
      </c>
      <c r="AA18" s="127">
        <f t="shared" si="7"/>
        <v>554701</v>
      </c>
      <c r="AB18" s="127">
        <f t="shared" si="7"/>
        <v>44692</v>
      </c>
      <c r="AC18" s="127">
        <f t="shared" si="7"/>
        <v>90952</v>
      </c>
      <c r="AD18" s="127">
        <f t="shared" si="7"/>
        <v>8251</v>
      </c>
      <c r="AE18" s="108">
        <f>(SUM(AE11:AE13))</f>
        <v>2019</v>
      </c>
      <c r="AF18" s="182">
        <f>(SUM(AF11:AF13))</f>
        <v>11716</v>
      </c>
      <c r="AG18" s="182">
        <f>(SUM(AG11:AG13))</f>
        <v>5595</v>
      </c>
      <c r="AH18" s="182">
        <f>(SUM(AH11:AH13))</f>
        <v>34</v>
      </c>
    </row>
    <row r="19" spans="1:34" s="106" customFormat="1" ht="17.25" customHeight="1" x14ac:dyDescent="0.25">
      <c r="A19" s="125">
        <v>41468</v>
      </c>
      <c r="B19" s="91">
        <v>4104</v>
      </c>
      <c r="C19" s="91">
        <v>1741</v>
      </c>
      <c r="D19" s="91">
        <v>-46106</v>
      </c>
      <c r="E19" s="91">
        <v>2846</v>
      </c>
      <c r="F19" s="91">
        <v>18527</v>
      </c>
      <c r="G19" s="91">
        <v>9693</v>
      </c>
      <c r="H19" s="91">
        <v>88526</v>
      </c>
      <c r="I19" s="91">
        <v>6805.1</v>
      </c>
      <c r="J19" s="91">
        <v>10208</v>
      </c>
      <c r="K19" s="91">
        <v>21153</v>
      </c>
      <c r="L19" s="91">
        <v>42186</v>
      </c>
      <c r="M19" s="91">
        <v>26828</v>
      </c>
      <c r="N19" s="91">
        <v>0</v>
      </c>
      <c r="O19" s="91">
        <v>775</v>
      </c>
      <c r="P19" s="124" t="s">
        <v>168</v>
      </c>
      <c r="Q19" s="91">
        <v>6481</v>
      </c>
      <c r="R19" s="91">
        <v>13224</v>
      </c>
      <c r="S19" s="91">
        <v>19366.099999999999</v>
      </c>
      <c r="T19" s="91">
        <v>26788</v>
      </c>
      <c r="U19" s="91">
        <v>20020</v>
      </c>
      <c r="V19" s="91">
        <v>17314</v>
      </c>
      <c r="W19" s="91">
        <v>1549</v>
      </c>
      <c r="X19" s="91">
        <v>53517.5</v>
      </c>
      <c r="Y19" s="91">
        <v>9950</v>
      </c>
      <c r="Z19" s="91">
        <v>157</v>
      </c>
      <c r="AA19" s="91">
        <v>37593</v>
      </c>
      <c r="AB19" s="91">
        <v>14146</v>
      </c>
      <c r="AC19" s="91">
        <v>43798</v>
      </c>
      <c r="AD19" s="91">
        <v>3386</v>
      </c>
      <c r="AE19" s="91">
        <v>547</v>
      </c>
      <c r="AF19" s="180">
        <v>0</v>
      </c>
      <c r="AG19" s="185"/>
      <c r="AH19" s="186"/>
    </row>
    <row r="20" spans="1:34" ht="17.25" customHeight="1" x14ac:dyDescent="0.25">
      <c r="A20" s="123">
        <v>41499</v>
      </c>
      <c r="B20" s="111">
        <v>8462</v>
      </c>
      <c r="C20" s="111">
        <v>1225</v>
      </c>
      <c r="D20" s="111">
        <v>-7154</v>
      </c>
      <c r="E20" s="111">
        <v>1067</v>
      </c>
      <c r="F20" s="111">
        <v>54107</v>
      </c>
      <c r="G20" s="111">
        <v>9010</v>
      </c>
      <c r="H20" s="111">
        <v>52356</v>
      </c>
      <c r="I20" s="111">
        <v>6759.8</v>
      </c>
      <c r="J20" s="111">
        <v>2753</v>
      </c>
      <c r="K20" s="111">
        <v>5978</v>
      </c>
      <c r="L20" s="111">
        <v>48939</v>
      </c>
      <c r="M20" s="111">
        <v>173074</v>
      </c>
      <c r="N20" s="111">
        <v>6232.2</v>
      </c>
      <c r="O20" s="111">
        <v>511</v>
      </c>
      <c r="P20" s="112" t="s">
        <v>168</v>
      </c>
      <c r="Q20" s="111">
        <v>1767</v>
      </c>
      <c r="R20" s="111">
        <v>16840</v>
      </c>
      <c r="S20" s="111">
        <v>13108.7</v>
      </c>
      <c r="T20" s="111">
        <v>41745</v>
      </c>
      <c r="U20" s="111">
        <v>19573</v>
      </c>
      <c r="V20" s="111">
        <v>8019</v>
      </c>
      <c r="W20" s="111">
        <v>8820</v>
      </c>
      <c r="X20" s="111">
        <v>163243.29999999999</v>
      </c>
      <c r="Y20" s="111">
        <v>15558</v>
      </c>
      <c r="Z20" s="111">
        <v>35774</v>
      </c>
      <c r="AA20" s="111">
        <v>41107</v>
      </c>
      <c r="AB20" s="111">
        <v>5424</v>
      </c>
      <c r="AC20" s="111">
        <v>35629</v>
      </c>
      <c r="AD20" s="111">
        <v>3281</v>
      </c>
      <c r="AE20" s="111">
        <v>495</v>
      </c>
      <c r="AF20" s="181">
        <v>31</v>
      </c>
      <c r="AG20" s="185"/>
    </row>
    <row r="21" spans="1:34" ht="17.25" customHeight="1" thickBot="1" x14ac:dyDescent="0.3">
      <c r="A21" s="122">
        <v>41530</v>
      </c>
      <c r="B21" s="108">
        <v>12324</v>
      </c>
      <c r="C21" s="108">
        <v>1058</v>
      </c>
      <c r="D21" s="108">
        <v>-21</v>
      </c>
      <c r="E21" s="108">
        <v>1716</v>
      </c>
      <c r="F21" s="108">
        <v>76660</v>
      </c>
      <c r="G21" s="108">
        <v>10517</v>
      </c>
      <c r="H21" s="108">
        <v>34856.6</v>
      </c>
      <c r="I21" s="108">
        <v>2520.6</v>
      </c>
      <c r="J21" s="108">
        <v>9039</v>
      </c>
      <c r="K21" s="108">
        <v>5956</v>
      </c>
      <c r="L21" s="108">
        <v>22704</v>
      </c>
      <c r="M21" s="108">
        <v>44682</v>
      </c>
      <c r="N21" s="108">
        <v>5682.6</v>
      </c>
      <c r="O21" s="108">
        <v>359</v>
      </c>
      <c r="P21" s="109" t="s">
        <v>168</v>
      </c>
      <c r="Q21" s="108">
        <v>2894</v>
      </c>
      <c r="R21" s="108">
        <v>40108</v>
      </c>
      <c r="S21" s="108">
        <v>4722.3999999999996</v>
      </c>
      <c r="T21" s="108">
        <v>4011.4</v>
      </c>
      <c r="U21" s="108">
        <v>12131</v>
      </c>
      <c r="V21" s="108">
        <v>4611.2</v>
      </c>
      <c r="W21" s="108">
        <v>13749</v>
      </c>
      <c r="X21" s="108">
        <v>79144</v>
      </c>
      <c r="Y21" s="108">
        <v>47207</v>
      </c>
      <c r="Z21" s="108">
        <v>50532</v>
      </c>
      <c r="AA21" s="108">
        <v>87444</v>
      </c>
      <c r="AB21" s="108">
        <v>666</v>
      </c>
      <c r="AC21" s="108">
        <v>4643</v>
      </c>
      <c r="AD21" s="108">
        <v>4488</v>
      </c>
      <c r="AE21" s="108">
        <v>1321.4</v>
      </c>
      <c r="AF21" s="182">
        <v>119</v>
      </c>
      <c r="AG21" s="185"/>
    </row>
    <row r="22" spans="1:34" ht="17.25" customHeight="1" x14ac:dyDescent="0.25">
      <c r="A22" s="121">
        <v>41560</v>
      </c>
      <c r="B22" s="114">
        <v>4266.9440000000004</v>
      </c>
      <c r="C22" s="114">
        <v>414.62799999999999</v>
      </c>
      <c r="D22" s="114">
        <v>-60</v>
      </c>
      <c r="E22" s="114">
        <v>6867.1134299999994</v>
      </c>
      <c r="F22" s="114">
        <v>564655.15993999992</v>
      </c>
      <c r="G22" s="114">
        <v>15356.268000000002</v>
      </c>
      <c r="H22" s="114">
        <v>70175.240139999994</v>
      </c>
      <c r="I22" s="114">
        <v>4112.0495000000001</v>
      </c>
      <c r="J22" s="114">
        <v>10720.586139999999</v>
      </c>
      <c r="K22" s="114">
        <v>10746.100850000001</v>
      </c>
      <c r="L22" s="114">
        <v>31243.343000000001</v>
      </c>
      <c r="M22" s="114">
        <v>94386.027019999994</v>
      </c>
      <c r="N22" s="114">
        <v>14436.865599999999</v>
      </c>
      <c r="O22" s="114">
        <v>844.98</v>
      </c>
      <c r="P22" s="115" t="s">
        <v>168</v>
      </c>
      <c r="Q22" s="114">
        <v>5083.0624000000007</v>
      </c>
      <c r="R22" s="114">
        <v>155559</v>
      </c>
      <c r="S22" s="114">
        <v>14023.18</v>
      </c>
      <c r="T22" s="114">
        <v>31475.721540000002</v>
      </c>
      <c r="U22" s="114">
        <v>17838.136000000002</v>
      </c>
      <c r="V22" s="114">
        <v>6919.0343999999996</v>
      </c>
      <c r="W22" s="114">
        <v>90194.108399999997</v>
      </c>
      <c r="X22" s="114">
        <v>225649.47242000001</v>
      </c>
      <c r="Y22" s="114">
        <v>199211</v>
      </c>
      <c r="Z22" s="114">
        <v>211755.86074999999</v>
      </c>
      <c r="AA22" s="114">
        <v>392396.68644000002</v>
      </c>
      <c r="AB22" s="114">
        <v>6466.8417600000002</v>
      </c>
      <c r="AC22" s="114">
        <v>44911.920100000003</v>
      </c>
      <c r="AD22" s="114">
        <v>4545.9084000000003</v>
      </c>
      <c r="AE22" s="91">
        <v>550.96439999999996</v>
      </c>
      <c r="AF22" s="180">
        <v>31</v>
      </c>
      <c r="AG22" s="185"/>
    </row>
    <row r="23" spans="1:34" ht="17.25" customHeight="1" x14ac:dyDescent="0.25">
      <c r="A23" s="120">
        <v>41591</v>
      </c>
      <c r="B23" s="111">
        <v>1645.2972</v>
      </c>
      <c r="C23" s="111">
        <v>249.77500000000001</v>
      </c>
      <c r="D23" s="111">
        <v>-20</v>
      </c>
      <c r="E23" s="111">
        <v>5187.9486099999995</v>
      </c>
      <c r="F23" s="111">
        <v>780940.3314599999</v>
      </c>
      <c r="G23" s="111">
        <v>8867.7059500000014</v>
      </c>
      <c r="H23" s="111">
        <v>38209.317399999993</v>
      </c>
      <c r="I23" s="111">
        <v>8621.4441000000024</v>
      </c>
      <c r="J23" s="111">
        <v>1152.4742000000001</v>
      </c>
      <c r="K23" s="111">
        <v>5379.2844999999998</v>
      </c>
      <c r="L23" s="111">
        <v>12311.729199999998</v>
      </c>
      <c r="M23" s="111">
        <v>37263.179999999993</v>
      </c>
      <c r="N23" s="111">
        <v>13833.635999999999</v>
      </c>
      <c r="O23" s="111">
        <v>739.35874999999999</v>
      </c>
      <c r="P23" s="112" t="s">
        <v>168</v>
      </c>
      <c r="Q23" s="111">
        <v>2148.5151499999997</v>
      </c>
      <c r="R23" s="111">
        <v>194801</v>
      </c>
      <c r="S23" s="111">
        <v>5567.7334000000001</v>
      </c>
      <c r="T23" s="111">
        <v>16947.412799999998</v>
      </c>
      <c r="U23" s="111">
        <v>4098.7575999999999</v>
      </c>
      <c r="V23" s="111">
        <v>8268.3322000000007</v>
      </c>
      <c r="W23" s="111">
        <v>90746.534500000009</v>
      </c>
      <c r="X23" s="111">
        <v>159391.35570000001</v>
      </c>
      <c r="Y23" s="111">
        <v>244445.9192</v>
      </c>
      <c r="Z23" s="111">
        <v>269839.69469999999</v>
      </c>
      <c r="AA23" s="111">
        <v>393754</v>
      </c>
      <c r="AB23" s="111">
        <v>5446.9238499999992</v>
      </c>
      <c r="AC23" s="111">
        <v>8292.4717999999993</v>
      </c>
      <c r="AD23" s="111">
        <v>2139.2683499999998</v>
      </c>
      <c r="AE23" s="111">
        <v>598.31769999999995</v>
      </c>
      <c r="AF23" s="181">
        <v>109.18</v>
      </c>
      <c r="AG23" s="185"/>
    </row>
    <row r="24" spans="1:34" ht="17.25" customHeight="1" thickBot="1" x14ac:dyDescent="0.3">
      <c r="A24" s="119">
        <v>41621</v>
      </c>
      <c r="B24" s="108">
        <v>7998.8587500000003</v>
      </c>
      <c r="C24" s="108">
        <v>37.36</v>
      </c>
      <c r="D24" s="108">
        <v>-3211.7959999999998</v>
      </c>
      <c r="E24" s="108">
        <v>4677.8315000000002</v>
      </c>
      <c r="F24" s="108">
        <v>851250.03890000016</v>
      </c>
      <c r="G24" s="108">
        <v>14431.522200000003</v>
      </c>
      <c r="H24" s="108">
        <v>43870.201400000005</v>
      </c>
      <c r="I24" s="108">
        <v>4110.4960000000001</v>
      </c>
      <c r="J24" s="108">
        <v>6100</v>
      </c>
      <c r="K24" s="108">
        <v>12426.399799999996</v>
      </c>
      <c r="L24" s="108">
        <v>52574.268030000007</v>
      </c>
      <c r="M24" s="108">
        <v>106392.48</v>
      </c>
      <c r="N24" s="108">
        <v>14713.596000000001</v>
      </c>
      <c r="O24" s="108">
        <v>2957.3550000000005</v>
      </c>
      <c r="P24" s="109" t="s">
        <v>168</v>
      </c>
      <c r="Q24" s="108">
        <v>6727.4051999999992</v>
      </c>
      <c r="R24" s="108">
        <v>200674.6312</v>
      </c>
      <c r="S24" s="108">
        <v>11547.689999999999</v>
      </c>
      <c r="T24" s="108">
        <v>17397</v>
      </c>
      <c r="U24" s="108">
        <v>5569.5830999999989</v>
      </c>
      <c r="V24" s="108">
        <v>6975.8341999999993</v>
      </c>
      <c r="W24" s="108">
        <v>85441.766599999988</v>
      </c>
      <c r="X24" s="108">
        <v>170246.44255000001</v>
      </c>
      <c r="Y24" s="108">
        <v>213673.0747</v>
      </c>
      <c r="Z24" s="108">
        <v>215438.87299999999</v>
      </c>
      <c r="AA24" s="108">
        <v>294890.30394000001</v>
      </c>
      <c r="AB24" s="108">
        <v>3152.7746999999999</v>
      </c>
      <c r="AC24" s="108">
        <v>3800</v>
      </c>
      <c r="AD24" s="108">
        <v>4053.8231999999994</v>
      </c>
      <c r="AE24" s="108">
        <v>436.70715000000001</v>
      </c>
      <c r="AF24" s="182">
        <v>50.65</v>
      </c>
      <c r="AG24" s="185"/>
    </row>
    <row r="25" spans="1:34" ht="17.25" customHeight="1" x14ac:dyDescent="0.25">
      <c r="A25" s="118">
        <v>41653</v>
      </c>
      <c r="B25" s="114">
        <v>11122.18</v>
      </c>
      <c r="C25" s="114">
        <v>16730.427250000001</v>
      </c>
      <c r="D25" s="114">
        <v>3.6844000000000001</v>
      </c>
      <c r="E25" s="114">
        <v>8864.9188999999988</v>
      </c>
      <c r="F25" s="114">
        <v>719713.34447999997</v>
      </c>
      <c r="G25" s="114">
        <v>7990.494999999999</v>
      </c>
      <c r="H25" s="114">
        <v>68949.43140999999</v>
      </c>
      <c r="I25" s="114">
        <v>7597.7216000000008</v>
      </c>
      <c r="J25" s="114">
        <v>14685.025010000001</v>
      </c>
      <c r="K25" s="114">
        <v>10311.277700000001</v>
      </c>
      <c r="L25" s="114">
        <v>46864.560700000002</v>
      </c>
      <c r="M25" s="114">
        <v>81441.628800000006</v>
      </c>
      <c r="N25" s="114">
        <v>4956.2963999999993</v>
      </c>
      <c r="O25" s="114">
        <v>3934.3130000000001</v>
      </c>
      <c r="P25" s="115" t="s">
        <v>168</v>
      </c>
      <c r="Q25" s="114">
        <v>9764.7391000000007</v>
      </c>
      <c r="R25" s="114">
        <v>158161</v>
      </c>
      <c r="S25" s="114">
        <v>19584.151400000002</v>
      </c>
      <c r="T25" s="114">
        <v>24871.95191</v>
      </c>
      <c r="U25" s="114">
        <v>19339.222549999999</v>
      </c>
      <c r="V25" s="114">
        <v>11324.35</v>
      </c>
      <c r="W25" s="114">
        <v>153130.92029999997</v>
      </c>
      <c r="X25" s="114">
        <v>238923.70079999999</v>
      </c>
      <c r="Y25" s="114">
        <v>189651.9914</v>
      </c>
      <c r="Z25" s="114">
        <v>260118.32459999999</v>
      </c>
      <c r="AA25" s="114">
        <v>219008.30394000001</v>
      </c>
      <c r="AB25" s="114">
        <v>11414.670799999998</v>
      </c>
      <c r="AC25" s="114">
        <v>8996.6254500000014</v>
      </c>
      <c r="AD25" s="114">
        <v>8488.0069000000021</v>
      </c>
      <c r="AE25" s="91">
        <v>1423.3697999999999</v>
      </c>
      <c r="AF25" s="180">
        <v>375.87</v>
      </c>
      <c r="AG25" s="185"/>
    </row>
    <row r="26" spans="1:34" ht="17.25" customHeight="1" x14ac:dyDescent="0.25">
      <c r="A26" s="117">
        <v>41684</v>
      </c>
      <c r="B26" s="111">
        <v>5730.8015999999998</v>
      </c>
      <c r="C26" s="111">
        <v>24330.2837</v>
      </c>
      <c r="D26" s="111">
        <v>1627.296</v>
      </c>
      <c r="E26" s="111">
        <v>15122.849799999998</v>
      </c>
      <c r="F26" s="111">
        <v>736100.1667200001</v>
      </c>
      <c r="G26" s="111">
        <v>20080.601200000001</v>
      </c>
      <c r="H26" s="111">
        <v>97122.573339999988</v>
      </c>
      <c r="I26" s="111">
        <v>8401.032250000002</v>
      </c>
      <c r="J26" s="111">
        <v>7397.4956400000001</v>
      </c>
      <c r="K26" s="111">
        <v>13285.3976</v>
      </c>
      <c r="L26" s="111">
        <v>8256.7885000000006</v>
      </c>
      <c r="M26" s="111">
        <v>34316.494399999996</v>
      </c>
      <c r="N26" s="111">
        <v>5051.5515000000005</v>
      </c>
      <c r="O26" s="111">
        <v>3241.71</v>
      </c>
      <c r="P26" s="112" t="s">
        <v>168</v>
      </c>
      <c r="Q26" s="111">
        <v>2977.0084000000002</v>
      </c>
      <c r="R26" s="111">
        <v>151435</v>
      </c>
      <c r="S26" s="111">
        <v>41658.176999999996</v>
      </c>
      <c r="T26" s="111">
        <v>13154.546039999999</v>
      </c>
      <c r="U26" s="111">
        <v>17035.224049999997</v>
      </c>
      <c r="V26" s="111">
        <v>6772.0315000000001</v>
      </c>
      <c r="W26" s="111">
        <v>96290.159899999999</v>
      </c>
      <c r="X26" s="111">
        <v>146164.71979999999</v>
      </c>
      <c r="Y26" s="111">
        <v>169524.8026</v>
      </c>
      <c r="Z26" s="111">
        <v>182641.56359999999</v>
      </c>
      <c r="AA26" s="111">
        <v>226647</v>
      </c>
      <c r="AB26" s="111">
        <v>11850.041850000001</v>
      </c>
      <c r="AC26" s="111">
        <v>9804.1362000000008</v>
      </c>
      <c r="AD26" s="111">
        <v>15137.246250000002</v>
      </c>
      <c r="AE26" s="111">
        <v>1492.7882999999999</v>
      </c>
      <c r="AF26" s="181">
        <v>0</v>
      </c>
      <c r="AG26" s="185"/>
    </row>
    <row r="27" spans="1:34" ht="17.25" customHeight="1" thickBot="1" x14ac:dyDescent="0.3">
      <c r="A27" s="116">
        <v>41712</v>
      </c>
      <c r="B27" s="108">
        <v>27551.422399999999</v>
      </c>
      <c r="C27" s="108">
        <v>18221.653999999999</v>
      </c>
      <c r="D27" s="108">
        <v>177</v>
      </c>
      <c r="E27" s="108">
        <v>14807.842859999995</v>
      </c>
      <c r="F27" s="108">
        <v>429159.58856</v>
      </c>
      <c r="G27" s="108">
        <v>10122.162700000001</v>
      </c>
      <c r="H27" s="108">
        <v>95738.141400000008</v>
      </c>
      <c r="I27" s="108">
        <v>11703.239200000004</v>
      </c>
      <c r="J27" s="108">
        <v>20231.4316</v>
      </c>
      <c r="K27" s="108">
        <v>12965.92</v>
      </c>
      <c r="L27" s="108">
        <v>10873.876799999998</v>
      </c>
      <c r="M27" s="108">
        <v>26808.791999999998</v>
      </c>
      <c r="N27" s="108">
        <v>15581.865600000001</v>
      </c>
      <c r="O27" s="108">
        <v>6816.0525000000016</v>
      </c>
      <c r="P27" s="109" t="s">
        <v>168</v>
      </c>
      <c r="Q27" s="108">
        <v>9630.5906999999988</v>
      </c>
      <c r="R27" s="108">
        <v>122180.4748</v>
      </c>
      <c r="S27" s="108">
        <v>47352.438999999998</v>
      </c>
      <c r="T27" s="108">
        <v>86332.448199999999</v>
      </c>
      <c r="U27" s="108">
        <v>18936.261499999997</v>
      </c>
      <c r="V27" s="108">
        <v>32418.374799999998</v>
      </c>
      <c r="W27" s="108">
        <v>44235.737600000008</v>
      </c>
      <c r="X27" s="108">
        <v>121230.67199999999</v>
      </c>
      <c r="Y27" s="108">
        <v>149390</v>
      </c>
      <c r="Z27" s="108">
        <v>138561.117</v>
      </c>
      <c r="AA27" s="108">
        <v>362808</v>
      </c>
      <c r="AB27" s="108">
        <v>11235.411799999998</v>
      </c>
      <c r="AC27" s="108">
        <v>100877.99520000002</v>
      </c>
      <c r="AD27" s="108">
        <v>22520.9794</v>
      </c>
      <c r="AE27" s="108">
        <v>1305.3505</v>
      </c>
      <c r="AF27" s="182">
        <v>0</v>
      </c>
      <c r="AG27" s="185"/>
    </row>
    <row r="28" spans="1:34" ht="17.25" customHeight="1" x14ac:dyDescent="0.25">
      <c r="A28" s="113">
        <v>41743</v>
      </c>
      <c r="B28" s="114">
        <v>6460.9148999999998</v>
      </c>
      <c r="C28" s="114">
        <v>3776.7682500000001</v>
      </c>
      <c r="D28" s="114">
        <v>13703.217699999999</v>
      </c>
      <c r="E28" s="114">
        <v>10637.225200000001</v>
      </c>
      <c r="F28" s="114">
        <v>403700.06047999999</v>
      </c>
      <c r="G28" s="114">
        <v>20687.636800000007</v>
      </c>
      <c r="H28" s="114">
        <v>150580.22389999998</v>
      </c>
      <c r="I28" s="114">
        <v>6870.7953999999982</v>
      </c>
      <c r="J28" s="114">
        <v>26308.177100000001</v>
      </c>
      <c r="K28" s="114">
        <v>24998.017060000009</v>
      </c>
      <c r="L28" s="114">
        <v>63421.886250000003</v>
      </c>
      <c r="M28" s="114">
        <v>76042.039149999997</v>
      </c>
      <c r="N28" s="114">
        <v>16155.848800000002</v>
      </c>
      <c r="O28" s="114">
        <v>3957.2090000000003</v>
      </c>
      <c r="P28" s="115" t="s">
        <v>168</v>
      </c>
      <c r="Q28" s="114">
        <v>9360.8162000000011</v>
      </c>
      <c r="R28" s="114">
        <v>153671.73120000001</v>
      </c>
      <c r="S28" s="114">
        <v>31276.403100000007</v>
      </c>
      <c r="T28" s="114">
        <v>67400.711399999986</v>
      </c>
      <c r="U28" s="114">
        <v>35839.283299999996</v>
      </c>
      <c r="V28" s="114">
        <v>8404.5662000000011</v>
      </c>
      <c r="W28" s="114">
        <v>56818.162799999998</v>
      </c>
      <c r="X28" s="114">
        <v>126580.40618999999</v>
      </c>
      <c r="Y28" s="114">
        <v>199607.31969999999</v>
      </c>
      <c r="Z28" s="114">
        <v>158663.91620000001</v>
      </c>
      <c r="AA28" s="114">
        <v>522302.84940000001</v>
      </c>
      <c r="AB28" s="114">
        <v>20524.032269999996</v>
      </c>
      <c r="AC28" s="114">
        <v>69326.080000000002</v>
      </c>
      <c r="AD28" s="114">
        <v>17111.409000000003</v>
      </c>
      <c r="AE28" s="91">
        <v>1828.2103</v>
      </c>
      <c r="AF28" s="180">
        <v>2298.3090000000002</v>
      </c>
      <c r="AG28" s="185"/>
    </row>
    <row r="29" spans="1:34" ht="17.25" customHeight="1" x14ac:dyDescent="0.25">
      <c r="A29" s="110">
        <v>41773</v>
      </c>
      <c r="B29" s="111">
        <v>1801.5661</v>
      </c>
      <c r="C29" s="111">
        <v>3886.5319</v>
      </c>
      <c r="D29" s="111">
        <v>27997.002899999999</v>
      </c>
      <c r="E29" s="111">
        <v>7189.9137899999996</v>
      </c>
      <c r="F29" s="111">
        <v>244918.3811</v>
      </c>
      <c r="G29" s="111">
        <v>11942.5591</v>
      </c>
      <c r="H29" s="111">
        <v>55797.156630000005</v>
      </c>
      <c r="I29" s="111">
        <v>5741.983000000002</v>
      </c>
      <c r="J29" s="111">
        <v>21118.785659999998</v>
      </c>
      <c r="K29" s="111">
        <v>8864.3502299999982</v>
      </c>
      <c r="L29" s="111">
        <v>17743.0605</v>
      </c>
      <c r="M29" s="111">
        <v>52100.64185</v>
      </c>
      <c r="N29" s="111">
        <v>15918.12066</v>
      </c>
      <c r="O29" s="111">
        <v>3889.4365000000003</v>
      </c>
      <c r="P29" s="112" t="s">
        <v>168</v>
      </c>
      <c r="Q29" s="111">
        <v>7417.3390599999975</v>
      </c>
      <c r="R29" s="111">
        <v>38582</v>
      </c>
      <c r="S29" s="111">
        <v>25183.397370000002</v>
      </c>
      <c r="T29" s="111">
        <v>96094.873650000009</v>
      </c>
      <c r="U29" s="111">
        <v>11837.607839999999</v>
      </c>
      <c r="V29" s="111">
        <v>17514.754199999999</v>
      </c>
      <c r="W29" s="111">
        <v>6300</v>
      </c>
      <c r="X29" s="111">
        <v>27077.858120000001</v>
      </c>
      <c r="Y29" s="111">
        <v>115593.677</v>
      </c>
      <c r="Z29" s="111">
        <v>139438.93309999999</v>
      </c>
      <c r="AA29" s="111">
        <v>363394</v>
      </c>
      <c r="AB29" s="111">
        <v>11055.301419999996</v>
      </c>
      <c r="AC29" s="111">
        <v>115661.94701999999</v>
      </c>
      <c r="AD29" s="111">
        <v>8020.2447899999988</v>
      </c>
      <c r="AE29" s="111">
        <v>618.42719999999997</v>
      </c>
      <c r="AF29" s="181">
        <v>0</v>
      </c>
      <c r="AG29" s="185"/>
    </row>
    <row r="30" spans="1:34" ht="17.25" customHeight="1" thickBot="1" x14ac:dyDescent="0.3">
      <c r="A30" s="107">
        <v>41804</v>
      </c>
      <c r="B30" s="108">
        <v>1191.0849000000001</v>
      </c>
      <c r="C30" s="108">
        <v>905.48119999999994</v>
      </c>
      <c r="D30" s="108">
        <v>11228.464699999999</v>
      </c>
      <c r="E30" s="108">
        <v>7057.71461</v>
      </c>
      <c r="F30" s="108">
        <v>40002.762770000001</v>
      </c>
      <c r="G30" s="108">
        <v>5871.664600000001</v>
      </c>
      <c r="H30" s="108">
        <v>119844.54319999997</v>
      </c>
      <c r="I30" s="108">
        <v>5446.1614000000009</v>
      </c>
      <c r="J30" s="108">
        <v>11089.454300000001</v>
      </c>
      <c r="K30" s="108">
        <v>21931.816320000002</v>
      </c>
      <c r="L30" s="108">
        <v>10989.159</v>
      </c>
      <c r="M30" s="108">
        <v>10871.4288</v>
      </c>
      <c r="N30" s="108">
        <v>3553.4985199999996</v>
      </c>
      <c r="O30" s="108">
        <v>765.86749999999995</v>
      </c>
      <c r="P30" s="109" t="s">
        <v>168</v>
      </c>
      <c r="Q30" s="108">
        <v>7914.180620000001</v>
      </c>
      <c r="R30" s="108">
        <v>20794</v>
      </c>
      <c r="S30" s="108">
        <v>18171.119499999997</v>
      </c>
      <c r="T30" s="108">
        <v>33156.983479999995</v>
      </c>
      <c r="U30" s="108">
        <v>24925.304159999996</v>
      </c>
      <c r="V30" s="108">
        <v>2858.40452</v>
      </c>
      <c r="W30" s="108">
        <v>1760.4557</v>
      </c>
      <c r="X30" s="108">
        <v>53178</v>
      </c>
      <c r="Y30" s="108">
        <v>30000</v>
      </c>
      <c r="Z30" s="108">
        <v>205.03020000000001</v>
      </c>
      <c r="AA30" s="108">
        <v>74759</v>
      </c>
      <c r="AB30" s="108">
        <v>5180.978900000001</v>
      </c>
      <c r="AC30" s="108">
        <v>38913.843249999998</v>
      </c>
      <c r="AD30" s="108">
        <v>9619.6714499999998</v>
      </c>
      <c r="AE30" s="108">
        <v>234</v>
      </c>
      <c r="AF30" s="182">
        <v>0</v>
      </c>
      <c r="AG30" s="185"/>
    </row>
    <row r="31" spans="1:34" ht="17.25" customHeight="1" x14ac:dyDescent="0.25">
      <c r="A31" s="123">
        <v>41834</v>
      </c>
      <c r="B31" s="111">
        <v>359.04599999999999</v>
      </c>
      <c r="C31" s="111">
        <v>397.44485000000003</v>
      </c>
      <c r="D31" s="111">
        <v>68914.1924</v>
      </c>
      <c r="E31" s="111">
        <v>2148.8647400000004</v>
      </c>
      <c r="F31" s="111">
        <v>20090.550889999999</v>
      </c>
      <c r="G31" s="111">
        <v>12584.7837</v>
      </c>
      <c r="H31" s="111">
        <v>84416.622910000006</v>
      </c>
      <c r="I31" s="111">
        <v>12986.909339999995</v>
      </c>
      <c r="J31" s="111">
        <v>16493.370699999999</v>
      </c>
      <c r="K31" s="111">
        <v>8045.7303000000002</v>
      </c>
      <c r="L31" s="111">
        <v>5782.9072999999999</v>
      </c>
      <c r="M31" s="111">
        <v>0</v>
      </c>
      <c r="N31" s="111">
        <v>4962.8602600000004</v>
      </c>
      <c r="O31" s="111">
        <v>519.18700000000001</v>
      </c>
      <c r="P31" s="112" t="s">
        <v>168</v>
      </c>
      <c r="Q31" s="111">
        <v>2424.7870199999998</v>
      </c>
      <c r="R31" s="111">
        <v>10662</v>
      </c>
      <c r="S31" s="111">
        <v>40597.846489999989</v>
      </c>
      <c r="T31" s="111">
        <v>73579.413249999998</v>
      </c>
      <c r="U31" s="111">
        <v>16976.931919999999</v>
      </c>
      <c r="V31" s="111">
        <v>9788.0869000000002</v>
      </c>
      <c r="W31" s="111">
        <v>3150</v>
      </c>
      <c r="X31" s="111">
        <v>17340.305619999999</v>
      </c>
      <c r="Y31" s="111">
        <v>26.3154</v>
      </c>
      <c r="Z31" s="111">
        <v>3525.8020000000001</v>
      </c>
      <c r="AA31" s="111">
        <v>24768.096550000002</v>
      </c>
      <c r="AB31" s="111">
        <v>16235.960650000005</v>
      </c>
      <c r="AC31" s="111">
        <v>75645.924949999986</v>
      </c>
      <c r="AD31" s="111">
        <v>1814.3930900000003</v>
      </c>
      <c r="AE31" s="91">
        <v>218.78319999999999</v>
      </c>
      <c r="AF31" s="180">
        <v>0</v>
      </c>
      <c r="AG31" s="185"/>
    </row>
    <row r="32" spans="1:34" ht="17.25" customHeight="1" x14ac:dyDescent="0.25">
      <c r="A32" s="123">
        <v>41865</v>
      </c>
      <c r="B32" s="111">
        <v>4113.5851000000002</v>
      </c>
      <c r="C32" s="111">
        <v>190.65160000000003</v>
      </c>
      <c r="D32" s="111">
        <v>91.704399999999993</v>
      </c>
      <c r="E32" s="111">
        <v>1690.1835899999999</v>
      </c>
      <c r="F32" s="111">
        <v>46720.222479999997</v>
      </c>
      <c r="G32" s="111">
        <v>1589.0163999999997</v>
      </c>
      <c r="H32" s="111">
        <v>76834.470560000002</v>
      </c>
      <c r="I32" s="111">
        <v>8046.8694000000014</v>
      </c>
      <c r="J32" s="111">
        <v>14036.247139999998</v>
      </c>
      <c r="K32" s="111">
        <v>7003.4502200000006</v>
      </c>
      <c r="L32" s="111">
        <v>7469.9272000000001</v>
      </c>
      <c r="M32" s="111">
        <v>5614.53</v>
      </c>
      <c r="N32" s="111">
        <v>5207.3154000000004</v>
      </c>
      <c r="O32" s="111">
        <v>487.12499999999994</v>
      </c>
      <c r="P32" s="112" t="s">
        <v>168</v>
      </c>
      <c r="Q32" s="111">
        <v>2096.6735099999996</v>
      </c>
      <c r="R32" s="111">
        <v>19520</v>
      </c>
      <c r="S32" s="111">
        <v>18009.648000000001</v>
      </c>
      <c r="T32" s="111">
        <v>47104.115739999994</v>
      </c>
      <c r="U32" s="111">
        <v>13472.568430000001</v>
      </c>
      <c r="V32" s="111">
        <v>10537.485400000003</v>
      </c>
      <c r="W32" s="111">
        <v>6049.9013999999997</v>
      </c>
      <c r="X32" s="111">
        <v>32129.175499999998</v>
      </c>
      <c r="Y32" s="111">
        <v>25432.025399999999</v>
      </c>
      <c r="Z32" s="111">
        <v>58103.736600000004</v>
      </c>
      <c r="AA32" s="111">
        <v>47310</v>
      </c>
      <c r="AB32" s="111">
        <v>3819.2109999999993</v>
      </c>
      <c r="AC32" s="111">
        <v>33750.5389</v>
      </c>
      <c r="AD32" s="111">
        <v>8843.4575800000002</v>
      </c>
      <c r="AE32" s="111">
        <v>255.01319999999998</v>
      </c>
      <c r="AF32" s="181">
        <v>219.374</v>
      </c>
      <c r="AG32" s="185"/>
    </row>
    <row r="33" spans="1:33" ht="17.25" customHeight="1" thickBot="1" x14ac:dyDescent="0.3">
      <c r="A33" s="122">
        <v>41896</v>
      </c>
      <c r="B33" s="108">
        <v>5038.8822499999997</v>
      </c>
      <c r="C33" s="108">
        <v>145.78425000000001</v>
      </c>
      <c r="D33" s="108">
        <v>36</v>
      </c>
      <c r="E33" s="108">
        <v>1326.0287699999999</v>
      </c>
      <c r="F33" s="108">
        <v>114296.43734</v>
      </c>
      <c r="G33" s="108">
        <v>4516.5770000000002</v>
      </c>
      <c r="H33" s="108">
        <v>-10125.788430000015</v>
      </c>
      <c r="I33" s="108">
        <v>2560.9073899999999</v>
      </c>
      <c r="J33" s="108">
        <v>2206.3168999999998</v>
      </c>
      <c r="K33" s="108">
        <v>9318.9331700000002</v>
      </c>
      <c r="L33" s="108">
        <v>88.348399999999998</v>
      </c>
      <c r="M33" s="108">
        <v>0</v>
      </c>
      <c r="N33" s="108">
        <v>5269.0846000000001</v>
      </c>
      <c r="O33" s="108">
        <v>618.18250000000012</v>
      </c>
      <c r="P33" s="109" t="s">
        <v>168</v>
      </c>
      <c r="Q33" s="108">
        <v>1870.2317599999999</v>
      </c>
      <c r="R33" s="108">
        <v>46050</v>
      </c>
      <c r="S33" s="108">
        <v>15359.336509999999</v>
      </c>
      <c r="T33" s="108">
        <v>14981.576849999999</v>
      </c>
      <c r="U33" s="108">
        <v>21795.266990000004</v>
      </c>
      <c r="V33" s="108">
        <v>2577.8972000000003</v>
      </c>
      <c r="W33" s="108">
        <v>7706.0382</v>
      </c>
      <c r="X33" s="108">
        <v>44248.585099999997</v>
      </c>
      <c r="Y33" s="108">
        <v>49949.667600000001</v>
      </c>
      <c r="Z33" s="108">
        <v>14704.623</v>
      </c>
      <c r="AA33" s="108">
        <v>73087.184800000003</v>
      </c>
      <c r="AB33" s="108">
        <v>1144.7168999999999</v>
      </c>
      <c r="AC33" s="108">
        <v>20007.871410000003</v>
      </c>
      <c r="AD33" s="108">
        <v>12348.540059999998</v>
      </c>
      <c r="AE33" s="108">
        <v>342.79480000000001</v>
      </c>
      <c r="AF33" s="182">
        <v>150</v>
      </c>
      <c r="AG33" s="185"/>
    </row>
    <row r="34" spans="1:33" ht="17.25" customHeight="1" x14ac:dyDescent="0.25">
      <c r="A34" s="121">
        <v>41926</v>
      </c>
      <c r="B34" s="114">
        <v>5846.6863000000003</v>
      </c>
      <c r="C34" s="114">
        <v>456.87592999999998</v>
      </c>
      <c r="D34" s="114">
        <v>60</v>
      </c>
      <c r="E34" s="114">
        <v>4814.8626599999989</v>
      </c>
      <c r="F34" s="114">
        <v>421414.02742</v>
      </c>
      <c r="G34" s="114">
        <v>5731.8933000000006</v>
      </c>
      <c r="H34" s="114">
        <v>50315.293009999994</v>
      </c>
      <c r="I34" s="114">
        <v>3606.1657999999998</v>
      </c>
      <c r="J34" s="114">
        <v>15949.488599999999</v>
      </c>
      <c r="K34" s="114">
        <v>7426.2221</v>
      </c>
      <c r="L34" s="114">
        <v>11375.35968</v>
      </c>
      <c r="M34" s="114">
        <v>96.194280000000006</v>
      </c>
      <c r="N34" s="114">
        <v>5601.1475599999994</v>
      </c>
      <c r="O34" s="114">
        <v>841.36</v>
      </c>
      <c r="P34" s="115" t="s">
        <v>168</v>
      </c>
      <c r="Q34" s="114">
        <v>3858.2578999999992</v>
      </c>
      <c r="R34" s="114">
        <v>133096</v>
      </c>
      <c r="S34" s="114">
        <v>25769.162619999999</v>
      </c>
      <c r="T34" s="114">
        <v>24065.977699999999</v>
      </c>
      <c r="U34" s="114">
        <v>9516.1368199999997</v>
      </c>
      <c r="V34" s="114">
        <v>4241.1453600000004</v>
      </c>
      <c r="W34" s="114">
        <v>72268.622399999993</v>
      </c>
      <c r="X34" s="114">
        <v>133056.7205</v>
      </c>
      <c r="Y34" s="114">
        <v>180183.09299999999</v>
      </c>
      <c r="Z34" s="114">
        <v>177642.86916</v>
      </c>
      <c r="AA34" s="114">
        <v>331440.5</v>
      </c>
      <c r="AB34" s="114">
        <v>2791.1669599999996</v>
      </c>
      <c r="AC34" s="114">
        <v>19782.911219999998</v>
      </c>
      <c r="AD34" s="114">
        <v>3578.4933200000009</v>
      </c>
      <c r="AE34" s="91">
        <v>580.14245999999991</v>
      </c>
      <c r="AF34" s="180">
        <v>0</v>
      </c>
      <c r="AG34" s="185"/>
    </row>
    <row r="35" spans="1:33" ht="17.25" customHeight="1" x14ac:dyDescent="0.25">
      <c r="A35" s="120">
        <v>41957</v>
      </c>
      <c r="B35" s="111">
        <v>4225.3613999999998</v>
      </c>
      <c r="C35" s="111">
        <v>69.164699999999996</v>
      </c>
      <c r="D35" s="111">
        <v>2</v>
      </c>
      <c r="E35" s="111">
        <v>2818.5473099999999</v>
      </c>
      <c r="F35" s="111">
        <v>529184.13320000004</v>
      </c>
      <c r="G35" s="111">
        <v>3089.2186999999999</v>
      </c>
      <c r="H35" s="111">
        <v>20538.982110000001</v>
      </c>
      <c r="I35" s="111">
        <v>1954.0536000000002</v>
      </c>
      <c r="J35" s="111">
        <v>1048.70354</v>
      </c>
      <c r="K35" s="111">
        <v>5000.1014499999992</v>
      </c>
      <c r="L35" s="111">
        <v>34.177599999999998</v>
      </c>
      <c r="M35" s="111">
        <v>510</v>
      </c>
      <c r="N35" s="111">
        <v>19581.073199999999</v>
      </c>
      <c r="O35" s="111">
        <v>1017.1715</v>
      </c>
      <c r="P35" s="112" t="s">
        <v>168</v>
      </c>
      <c r="Q35" s="111">
        <v>1286.6541500000001</v>
      </c>
      <c r="R35" s="111">
        <v>145562</v>
      </c>
      <c r="S35" s="111">
        <v>5537.7570999999998</v>
      </c>
      <c r="T35" s="111">
        <v>9349.0807400000012</v>
      </c>
      <c r="U35" s="111">
        <v>1589.6040799999998</v>
      </c>
      <c r="V35" s="111">
        <v>2862.9492</v>
      </c>
      <c r="W35" s="111">
        <v>42713.939299999998</v>
      </c>
      <c r="X35" s="111">
        <v>105312.7922</v>
      </c>
      <c r="Y35" s="111">
        <v>134980</v>
      </c>
      <c r="Z35" s="111">
        <v>162596.427</v>
      </c>
      <c r="AA35" s="111">
        <v>245194</v>
      </c>
      <c r="AB35" s="111">
        <v>2274.3720199999998</v>
      </c>
      <c r="AC35" s="111">
        <v>5919.8490000000002</v>
      </c>
      <c r="AD35" s="111">
        <v>861.36238000000003</v>
      </c>
      <c r="AE35" s="111">
        <v>96.806600000000003</v>
      </c>
      <c r="AF35" s="181">
        <v>0</v>
      </c>
      <c r="AG35" s="185"/>
    </row>
    <row r="36" spans="1:33" ht="17.25" customHeight="1" thickBot="1" x14ac:dyDescent="0.3">
      <c r="A36" s="119">
        <v>41987</v>
      </c>
      <c r="B36" s="108">
        <v>5968.1756999999998</v>
      </c>
      <c r="C36" s="108">
        <v>494.77940000000001</v>
      </c>
      <c r="D36" s="108">
        <v>14.006399999999999</v>
      </c>
      <c r="E36" s="108">
        <v>3541.9787900000001</v>
      </c>
      <c r="F36" s="108">
        <v>612165.38152000005</v>
      </c>
      <c r="G36" s="108">
        <v>7773.1815999999981</v>
      </c>
      <c r="H36" s="108">
        <v>28574.524890000001</v>
      </c>
      <c r="I36" s="108">
        <v>4017.1949499999996</v>
      </c>
      <c r="J36" s="108">
        <v>1192.173</v>
      </c>
      <c r="K36" s="108">
        <v>4477.8521900000005</v>
      </c>
      <c r="L36" s="108">
        <v>56395.321999999986</v>
      </c>
      <c r="M36" s="108">
        <v>11613.734</v>
      </c>
      <c r="N36" s="108">
        <v>5673.8688700000002</v>
      </c>
      <c r="O36" s="108">
        <v>299.13249999999999</v>
      </c>
      <c r="P36" s="109" t="s">
        <v>168</v>
      </c>
      <c r="Q36" s="108">
        <v>1014.2924600000001</v>
      </c>
      <c r="R36" s="108">
        <v>161351.29999999999</v>
      </c>
      <c r="S36" s="108">
        <v>9252.0028000000002</v>
      </c>
      <c r="T36" s="108">
        <v>7129.7359999999999</v>
      </c>
      <c r="U36" s="108">
        <v>1476.7736300000001</v>
      </c>
      <c r="V36" s="108">
        <v>6031.4250499999998</v>
      </c>
      <c r="W36" s="108">
        <v>26366.810799999999</v>
      </c>
      <c r="X36" s="108">
        <v>128353.96679999999</v>
      </c>
      <c r="Y36" s="108">
        <v>176360.1795</v>
      </c>
      <c r="Z36" s="108">
        <v>160058.69358999998</v>
      </c>
      <c r="AA36" s="108">
        <v>208160</v>
      </c>
      <c r="AB36" s="108">
        <v>2687.2395499999993</v>
      </c>
      <c r="AC36" s="108">
        <v>3433.7744000000002</v>
      </c>
      <c r="AD36" s="108">
        <v>952.86763999999994</v>
      </c>
      <c r="AE36" s="108">
        <v>445.95918999999998</v>
      </c>
      <c r="AF36" s="182">
        <v>150</v>
      </c>
      <c r="AG36" s="185"/>
    </row>
    <row r="37" spans="1:33" ht="17.25" customHeight="1" x14ac:dyDescent="0.25">
      <c r="A37" s="118">
        <v>42019</v>
      </c>
      <c r="B37" s="114">
        <v>7114.4306000000006</v>
      </c>
      <c r="C37" s="114">
        <v>105.68640000000001</v>
      </c>
      <c r="D37" s="114">
        <v>17</v>
      </c>
      <c r="E37" s="114">
        <v>6637.9951000000001</v>
      </c>
      <c r="F37" s="114">
        <v>445276.92206000001</v>
      </c>
      <c r="G37" s="114">
        <v>13283.767</v>
      </c>
      <c r="H37" s="114">
        <v>60946.992160000002</v>
      </c>
      <c r="I37" s="114">
        <v>4048.9937399999994</v>
      </c>
      <c r="J37" s="114">
        <v>40233.395200000006</v>
      </c>
      <c r="K37" s="114">
        <v>7720.8194600000006</v>
      </c>
      <c r="L37" s="114">
        <v>5411.1530000000002</v>
      </c>
      <c r="M37" s="114">
        <v>422.37383999999997</v>
      </c>
      <c r="N37" s="114">
        <v>8809.264360000001</v>
      </c>
      <c r="O37" s="114">
        <v>889.71</v>
      </c>
      <c r="P37" s="115" t="s">
        <v>168</v>
      </c>
      <c r="Q37" s="114">
        <v>3850.1759000000006</v>
      </c>
      <c r="R37" s="114">
        <v>124933.70999999999</v>
      </c>
      <c r="S37" s="114">
        <v>12115.460499999999</v>
      </c>
      <c r="T37" s="114">
        <v>75873.28820000001</v>
      </c>
      <c r="U37" s="114">
        <v>5586.7505000000001</v>
      </c>
      <c r="V37" s="114">
        <v>3268.3053</v>
      </c>
      <c r="W37" s="114">
        <v>42705.643399999994</v>
      </c>
      <c r="X37" s="114">
        <v>83568.739199999996</v>
      </c>
      <c r="Y37" s="114">
        <v>132743.76032</v>
      </c>
      <c r="Z37" s="114">
        <v>151767.87166</v>
      </c>
      <c r="AA37" s="114">
        <v>133526.61479999998</v>
      </c>
      <c r="AB37" s="114">
        <v>3583.923299999999</v>
      </c>
      <c r="AC37" s="114">
        <v>54139.640600000006</v>
      </c>
      <c r="AD37" s="114">
        <v>4280.42202</v>
      </c>
      <c r="AE37" s="91">
        <v>243.92726000000002</v>
      </c>
      <c r="AF37" s="180">
        <v>-200</v>
      </c>
      <c r="AG37" s="185"/>
    </row>
    <row r="38" spans="1:33" ht="17.25" customHeight="1" x14ac:dyDescent="0.25">
      <c r="A38" s="117">
        <v>42050</v>
      </c>
      <c r="B38" s="111">
        <v>2009.5335</v>
      </c>
      <c r="C38" s="111">
        <v>19078.294559999998</v>
      </c>
      <c r="D38" s="111">
        <v>1.4170499999999999</v>
      </c>
      <c r="E38" s="111">
        <v>11012.01656</v>
      </c>
      <c r="F38" s="111">
        <v>439520.50283999997</v>
      </c>
      <c r="G38" s="111">
        <v>11129.164299999999</v>
      </c>
      <c r="H38" s="111">
        <v>71036.96974</v>
      </c>
      <c r="I38" s="111">
        <v>6645.2084999999997</v>
      </c>
      <c r="J38" s="111">
        <v>797.64848999999981</v>
      </c>
      <c r="K38" s="111">
        <v>11284.227269999999</v>
      </c>
      <c r="L38" s="111">
        <v>3057.69</v>
      </c>
      <c r="M38" s="111">
        <v>1257.3440000000001</v>
      </c>
      <c r="N38" s="111">
        <v>2658.7350500000002</v>
      </c>
      <c r="O38" s="111">
        <v>5339.5950000000003</v>
      </c>
      <c r="P38" s="112" t="s">
        <v>168</v>
      </c>
      <c r="Q38" s="111">
        <v>7158.7806200000005</v>
      </c>
      <c r="R38" s="111">
        <v>111988</v>
      </c>
      <c r="S38" s="111">
        <v>24552.234009999993</v>
      </c>
      <c r="T38" s="111">
        <v>45556.223839999999</v>
      </c>
      <c r="U38" s="111">
        <v>14794.295460000003</v>
      </c>
      <c r="V38" s="111">
        <v>8704.4006900000004</v>
      </c>
      <c r="W38" s="111">
        <v>10728.671400000001</v>
      </c>
      <c r="X38" s="111">
        <v>240658.59226</v>
      </c>
      <c r="Y38" s="111">
        <v>111531.73011</v>
      </c>
      <c r="Z38" s="111">
        <v>117689.50623</v>
      </c>
      <c r="AA38" s="111">
        <v>118933</v>
      </c>
      <c r="AB38" s="111">
        <v>4469.9378500000003</v>
      </c>
      <c r="AC38" s="111">
        <v>24024.325150000001</v>
      </c>
      <c r="AD38" s="111">
        <v>23123.895189999999</v>
      </c>
      <c r="AE38" s="111">
        <v>126.33387</v>
      </c>
      <c r="AF38" s="181">
        <v>300</v>
      </c>
      <c r="AG38" s="185"/>
    </row>
    <row r="39" spans="1:33" ht="17.25" customHeight="1" thickBot="1" x14ac:dyDescent="0.3">
      <c r="A39" s="116">
        <v>42078</v>
      </c>
      <c r="B39" s="108">
        <v>30915.259500000004</v>
      </c>
      <c r="C39" s="108">
        <v>31388.719649999995</v>
      </c>
      <c r="D39" s="108">
        <v>2552.4560999999999</v>
      </c>
      <c r="E39" s="108">
        <v>10487.734389999996</v>
      </c>
      <c r="F39" s="108">
        <v>364145.61593999999</v>
      </c>
      <c r="G39" s="108">
        <v>10918.019050000001</v>
      </c>
      <c r="H39" s="108">
        <v>93727.019719999982</v>
      </c>
      <c r="I39" s="108">
        <v>13050.884959999998</v>
      </c>
      <c r="J39" s="108">
        <v>13067.235639999999</v>
      </c>
      <c r="K39" s="108">
        <v>9714.7187799999992</v>
      </c>
      <c r="L39" s="108">
        <v>5615.1562000000004</v>
      </c>
      <c r="M39" s="108">
        <v>305.28316000000001</v>
      </c>
      <c r="N39" s="108">
        <v>15484.73775</v>
      </c>
      <c r="O39" s="108">
        <v>2421.0610000000006</v>
      </c>
      <c r="P39" s="109" t="s">
        <v>168</v>
      </c>
      <c r="Q39" s="108">
        <v>4678.6979299999994</v>
      </c>
      <c r="R39" s="108">
        <v>122395.7696</v>
      </c>
      <c r="S39" s="108">
        <v>24943.852360000001</v>
      </c>
      <c r="T39" s="108">
        <v>27148.466960000002</v>
      </c>
      <c r="U39" s="108">
        <v>21769.295610000001</v>
      </c>
      <c r="V39" s="108">
        <v>41918.0599</v>
      </c>
      <c r="W39" s="108">
        <v>19771.725199999997</v>
      </c>
      <c r="X39" s="108">
        <v>80955.570500000002</v>
      </c>
      <c r="Y39" s="108">
        <v>140126.8554</v>
      </c>
      <c r="Z39" s="108">
        <v>130330.76876000001</v>
      </c>
      <c r="AA39" s="108">
        <v>345732.3456</v>
      </c>
      <c r="AB39" s="108">
        <v>13001.919299999998</v>
      </c>
      <c r="AC39" s="108">
        <v>63377.895879999996</v>
      </c>
      <c r="AD39" s="108">
        <v>22101.732900000003</v>
      </c>
      <c r="AE39" s="108">
        <v>-162.20984000000004</v>
      </c>
      <c r="AF39" s="182">
        <v>2348.3325999999997</v>
      </c>
      <c r="AG39" s="185"/>
    </row>
    <row r="40" spans="1:33" ht="17.25" customHeight="1" x14ac:dyDescent="0.25">
      <c r="A40" s="113">
        <v>42109</v>
      </c>
      <c r="B40" s="114">
        <v>8811.4660000000003</v>
      </c>
      <c r="C40" s="114" t="s">
        <v>207</v>
      </c>
      <c r="D40" s="114">
        <v>45489.819400000008</v>
      </c>
      <c r="E40" s="114">
        <v>10299.19613</v>
      </c>
      <c r="F40" s="114">
        <v>376340.38428</v>
      </c>
      <c r="G40" s="114">
        <v>10221.483799999998</v>
      </c>
      <c r="H40" s="114">
        <v>157295.12386999995</v>
      </c>
      <c r="I40" s="114">
        <v>9016.2241900000008</v>
      </c>
      <c r="J40" s="114">
        <v>15574.86832</v>
      </c>
      <c r="K40" s="114">
        <v>24047.630859999997</v>
      </c>
      <c r="L40" s="114">
        <v>18417.117699999999</v>
      </c>
      <c r="M40" s="114">
        <v>5647.0429999999997</v>
      </c>
      <c r="N40" s="114">
        <v>2228.6293000000001</v>
      </c>
      <c r="O40" s="114">
        <v>2504.5050000000006</v>
      </c>
      <c r="P40" s="115" t="s">
        <v>168</v>
      </c>
      <c r="Q40" s="114">
        <v>9153.1814999999988</v>
      </c>
      <c r="R40" s="114">
        <v>122377</v>
      </c>
      <c r="S40" s="114">
        <v>28006.102919999998</v>
      </c>
      <c r="T40" s="114">
        <v>65543.007119999995</v>
      </c>
      <c r="U40" s="114">
        <v>38578.324269999997</v>
      </c>
      <c r="V40" s="114">
        <v>13741.3549</v>
      </c>
      <c r="W40" s="114">
        <v>21813.421900000001</v>
      </c>
      <c r="X40" s="114">
        <v>256782.32499999998</v>
      </c>
      <c r="Y40" s="114">
        <v>174425.5208</v>
      </c>
      <c r="Z40" s="114">
        <v>173665.40411999999</v>
      </c>
      <c r="AA40" s="114">
        <v>446922.18479999999</v>
      </c>
      <c r="AB40" s="114">
        <v>14905.448200000003</v>
      </c>
      <c r="AC40" s="114">
        <v>152166.42672000002</v>
      </c>
      <c r="AD40" s="114">
        <v>16126.471820000002</v>
      </c>
      <c r="AE40" s="91">
        <v>455.69492000000002</v>
      </c>
      <c r="AF40" s="180">
        <v>150</v>
      </c>
      <c r="AG40" s="185"/>
    </row>
    <row r="41" spans="1:33" ht="17.25" customHeight="1" x14ac:dyDescent="0.25">
      <c r="A41" s="110">
        <v>42139</v>
      </c>
      <c r="B41" s="111">
        <v>443.63639999999998</v>
      </c>
      <c r="C41" s="111">
        <v>2797.6785</v>
      </c>
      <c r="D41" s="111">
        <v>115</v>
      </c>
      <c r="E41" s="111">
        <v>4569.6324500000001</v>
      </c>
      <c r="F41" s="111">
        <v>189040.99839999998</v>
      </c>
      <c r="G41" s="111">
        <v>4945.5351499999997</v>
      </c>
      <c r="H41" s="111">
        <v>96082.072849999997</v>
      </c>
      <c r="I41" s="111">
        <v>2814.6058500000004</v>
      </c>
      <c r="J41" s="111">
        <v>17781.701399999994</v>
      </c>
      <c r="K41" s="111">
        <v>7282.6770099999994</v>
      </c>
      <c r="L41" s="111">
        <v>25316.456200000001</v>
      </c>
      <c r="M41" s="111">
        <v>945.72940000000006</v>
      </c>
      <c r="N41" s="111">
        <v>8403.768759999999</v>
      </c>
      <c r="O41" s="111">
        <v>889.70500000000004</v>
      </c>
      <c r="P41" s="112" t="s">
        <v>168</v>
      </c>
      <c r="Q41" s="111">
        <v>1717.17661</v>
      </c>
      <c r="R41" s="111">
        <v>76674</v>
      </c>
      <c r="S41" s="111">
        <v>11315.016389999999</v>
      </c>
      <c r="T41" s="111">
        <v>27567.336579999996</v>
      </c>
      <c r="U41" s="111">
        <v>35415.225489999997</v>
      </c>
      <c r="V41" s="111">
        <v>13799.857</v>
      </c>
      <c r="W41" s="111">
        <v>4865.4493999999995</v>
      </c>
      <c r="X41" s="111">
        <v>45649.769659999998</v>
      </c>
      <c r="Y41" s="111">
        <v>94056</v>
      </c>
      <c r="Z41" s="111">
        <v>81279.140740000003</v>
      </c>
      <c r="AA41" s="111">
        <v>195544</v>
      </c>
      <c r="AB41" s="111">
        <v>5124.9059199999992</v>
      </c>
      <c r="AC41" s="111">
        <v>38123.707450000002</v>
      </c>
      <c r="AD41" s="111">
        <v>14821.227909999996</v>
      </c>
      <c r="AE41" s="111">
        <v>289.81954000000002</v>
      </c>
      <c r="AF41" s="181">
        <v>0</v>
      </c>
      <c r="AG41" s="185"/>
    </row>
    <row r="42" spans="1:33" ht="17.25" customHeight="1" thickBot="1" x14ac:dyDescent="0.3">
      <c r="A42" s="107">
        <v>42170</v>
      </c>
      <c r="B42" s="108">
        <v>2058.2469000000001</v>
      </c>
      <c r="C42" s="108">
        <v>467.72269999999997</v>
      </c>
      <c r="D42" s="108">
        <v>54430.647200000007</v>
      </c>
      <c r="E42" s="108">
        <v>2640.7879600000001</v>
      </c>
      <c r="F42" s="108">
        <v>55288.028899999998</v>
      </c>
      <c r="G42" s="108">
        <v>6623.2277999999997</v>
      </c>
      <c r="H42" s="108">
        <v>69066.659599999999</v>
      </c>
      <c r="I42" s="108">
        <v>4305.0510000000004</v>
      </c>
      <c r="J42" s="108">
        <v>14431.3164</v>
      </c>
      <c r="K42" s="108">
        <v>11918.838229999998</v>
      </c>
      <c r="L42" s="108">
        <v>38718.247500000005</v>
      </c>
      <c r="M42" s="108">
        <v>269.79999999999973</v>
      </c>
      <c r="N42" s="108">
        <v>16450.0013</v>
      </c>
      <c r="O42" s="108">
        <v>387.20074999999997</v>
      </c>
      <c r="P42" s="109" t="s">
        <v>168</v>
      </c>
      <c r="Q42" s="108">
        <v>4825.780960000001</v>
      </c>
      <c r="R42" s="108">
        <v>22625</v>
      </c>
      <c r="S42" s="108">
        <v>14990.095899999998</v>
      </c>
      <c r="T42" s="108">
        <v>25548.997800000001</v>
      </c>
      <c r="U42" s="108">
        <v>9990.8266199999998</v>
      </c>
      <c r="V42" s="108">
        <v>5719.10185</v>
      </c>
      <c r="W42" s="108">
        <v>1890</v>
      </c>
      <c r="X42" s="108">
        <v>64108.994399999996</v>
      </c>
      <c r="Y42" s="108">
        <v>30015</v>
      </c>
      <c r="Z42" s="108">
        <v>5481.5555999999997</v>
      </c>
      <c r="AA42" s="108">
        <v>49837</v>
      </c>
      <c r="AB42" s="108">
        <v>-6228.4741999999933</v>
      </c>
      <c r="AC42" s="108">
        <v>43036.433099999995</v>
      </c>
      <c r="AD42" s="108">
        <v>3805.4954599999996</v>
      </c>
      <c r="AE42" s="108">
        <v>181.63060000000002</v>
      </c>
      <c r="AF42" s="182">
        <v>0</v>
      </c>
      <c r="AG42" s="185"/>
    </row>
    <row r="43" spans="1:33" ht="17.25" customHeight="1" x14ac:dyDescent="0.25">
      <c r="A43" s="123">
        <v>42200</v>
      </c>
      <c r="B43" s="111">
        <v>879.33609999999999</v>
      </c>
      <c r="C43" s="111">
        <v>2395.2209000000007</v>
      </c>
      <c r="D43" s="111">
        <v>48740.30279999999</v>
      </c>
      <c r="E43" s="111">
        <v>4600.0756099999999</v>
      </c>
      <c r="F43" s="111">
        <v>19165.729429999999</v>
      </c>
      <c r="G43" s="111">
        <v>6730.6342000000013</v>
      </c>
      <c r="H43" s="111">
        <v>87446.86348</v>
      </c>
      <c r="I43" s="111">
        <v>2255.6361499999998</v>
      </c>
      <c r="J43" s="111">
        <v>7794.2575000000006</v>
      </c>
      <c r="K43" s="111">
        <v>11555.32186</v>
      </c>
      <c r="L43" s="111">
        <v>16843.540199999999</v>
      </c>
      <c r="M43" s="111">
        <v>6701.6545999999998</v>
      </c>
      <c r="N43" s="111">
        <v>8809.264360000001</v>
      </c>
      <c r="O43" s="111">
        <v>4759.3245000000006</v>
      </c>
      <c r="P43" s="112" t="s">
        <v>168</v>
      </c>
      <c r="Q43" s="111">
        <v>2974.2430199999999</v>
      </c>
      <c r="R43" s="111">
        <v>6238</v>
      </c>
      <c r="S43" s="111">
        <v>14499.525510000001</v>
      </c>
      <c r="T43" s="111">
        <v>35767.892069999994</v>
      </c>
      <c r="U43" s="111">
        <v>12165.193679999998</v>
      </c>
      <c r="V43" s="111">
        <v>16658.696799999998</v>
      </c>
      <c r="W43" s="111">
        <v>-4951</v>
      </c>
      <c r="X43" s="111">
        <v>22641.412100000001</v>
      </c>
      <c r="Y43" s="111">
        <v>75.791960000000003</v>
      </c>
      <c r="Z43" s="111">
        <v>711.1979</v>
      </c>
      <c r="AA43" s="111">
        <v>25235.715</v>
      </c>
      <c r="AB43" s="111">
        <v>12420.44175</v>
      </c>
      <c r="AC43" s="111">
        <v>36109.511280000006</v>
      </c>
      <c r="AD43" s="111">
        <v>5431.30303</v>
      </c>
      <c r="AE43" s="91">
        <v>12.768849999999929</v>
      </c>
      <c r="AF43" s="180">
        <v>0</v>
      </c>
      <c r="AG43" s="185"/>
    </row>
    <row r="44" spans="1:33" ht="17.25" customHeight="1" x14ac:dyDescent="0.25">
      <c r="A44" s="123">
        <v>42231</v>
      </c>
      <c r="B44" s="111">
        <v>4200.4375</v>
      </c>
      <c r="C44" s="111">
        <v>587.18518000000006</v>
      </c>
      <c r="D44" s="111">
        <v>75</v>
      </c>
      <c r="E44" s="111">
        <v>1083.10698</v>
      </c>
      <c r="F44" s="111">
        <v>21093.327679999999</v>
      </c>
      <c r="G44" s="111">
        <v>7124.7807999999995</v>
      </c>
      <c r="H44" s="111">
        <v>47509.562079999989</v>
      </c>
      <c r="I44" s="111">
        <v>1597.7964400000001</v>
      </c>
      <c r="J44" s="111">
        <v>61113.7376</v>
      </c>
      <c r="K44" s="111">
        <v>5990.3895699999994</v>
      </c>
      <c r="L44" s="111">
        <v>14064.869500000001</v>
      </c>
      <c r="M44" s="111">
        <v>120.2985</v>
      </c>
      <c r="N44" s="111">
        <v>2658.7350500000002</v>
      </c>
      <c r="O44" s="111">
        <v>96.072499999999991</v>
      </c>
      <c r="P44" s="112" t="s">
        <v>168</v>
      </c>
      <c r="Q44" s="111">
        <v>1775.0438200000001</v>
      </c>
      <c r="R44" s="111">
        <v>3813</v>
      </c>
      <c r="S44" s="111">
        <v>22224.121760000002</v>
      </c>
      <c r="T44" s="111">
        <v>8801.373520000001</v>
      </c>
      <c r="U44" s="111">
        <v>18406.560300000001</v>
      </c>
      <c r="V44" s="111">
        <v>4740.1915500000005</v>
      </c>
      <c r="W44" s="111">
        <v>0</v>
      </c>
      <c r="X44" s="111">
        <v>3293.3866399999997</v>
      </c>
      <c r="Y44" s="111">
        <v>4990</v>
      </c>
      <c r="Z44" s="111">
        <v>29155.721809999999</v>
      </c>
      <c r="AA44" s="111">
        <v>12432.184799999999</v>
      </c>
      <c r="AB44" s="111">
        <v>1944.75685</v>
      </c>
      <c r="AC44" s="111">
        <v>21644.000480000002</v>
      </c>
      <c r="AD44" s="111">
        <v>2187.1886600000003</v>
      </c>
      <c r="AE44" s="111">
        <v>323.17361</v>
      </c>
      <c r="AF44" s="181">
        <v>15</v>
      </c>
      <c r="AG44" s="185"/>
    </row>
    <row r="45" spans="1:33" ht="17.25" customHeight="1" thickBot="1" x14ac:dyDescent="0.3">
      <c r="A45" s="122">
        <v>42262</v>
      </c>
      <c r="B45" s="108">
        <v>6430.5978999999998</v>
      </c>
      <c r="C45" s="108">
        <v>2787.9255000000003</v>
      </c>
      <c r="D45" s="108">
        <v>28.382400000000001</v>
      </c>
      <c r="E45" s="108">
        <v>2248.4661900000006</v>
      </c>
      <c r="F45" s="108">
        <v>116469.20939999999</v>
      </c>
      <c r="G45" s="108">
        <v>10016.2415</v>
      </c>
      <c r="H45" s="108">
        <v>80389.88413999998</v>
      </c>
      <c r="I45" s="108">
        <v>2930.4992499999998</v>
      </c>
      <c r="J45" s="108">
        <v>6868.8557800000008</v>
      </c>
      <c r="K45" s="108">
        <v>9971.3870400000014</v>
      </c>
      <c r="L45" s="108">
        <v>8055.7373999999991</v>
      </c>
      <c r="M45" s="108">
        <v>12039.258</v>
      </c>
      <c r="N45" s="108">
        <v>15484.73775</v>
      </c>
      <c r="O45" s="108">
        <v>408.78500000000003</v>
      </c>
      <c r="P45" s="109" t="s">
        <v>168</v>
      </c>
      <c r="Q45" s="108">
        <v>1161.0646599999998</v>
      </c>
      <c r="R45" s="108">
        <v>48675</v>
      </c>
      <c r="S45" s="108">
        <v>28942.290280000001</v>
      </c>
      <c r="T45" s="108">
        <v>24252.825780000003</v>
      </c>
      <c r="U45" s="108">
        <v>26506.278120000006</v>
      </c>
      <c r="V45" s="108">
        <v>3407.4308499999997</v>
      </c>
      <c r="W45" s="108">
        <v>1492.6414</v>
      </c>
      <c r="X45" s="108">
        <v>33006.171300000002</v>
      </c>
      <c r="Y45" s="108">
        <v>74930.071309999999</v>
      </c>
      <c r="Z45" s="108">
        <v>58268.591710000001</v>
      </c>
      <c r="AA45" s="108">
        <v>112444</v>
      </c>
      <c r="AB45" s="108">
        <v>-8981.7614000000012</v>
      </c>
      <c r="AC45" s="108">
        <v>20181.34158</v>
      </c>
      <c r="AD45" s="108">
        <v>9441.8028099999992</v>
      </c>
      <c r="AE45" s="108">
        <v>118.06441000000001</v>
      </c>
      <c r="AF45" s="182">
        <v>47.7</v>
      </c>
      <c r="AG45" s="185"/>
    </row>
    <row r="46" spans="1:33" ht="17.25" customHeight="1" x14ac:dyDescent="0.25">
      <c r="A46" s="121">
        <v>42292</v>
      </c>
      <c r="B46" s="114">
        <v>-3079.909200000001</v>
      </c>
      <c r="C46" s="114">
        <v>-1486.7393199999997</v>
      </c>
      <c r="D46" s="114">
        <v>61.7044</v>
      </c>
      <c r="E46" s="114">
        <v>3888.1289200000001</v>
      </c>
      <c r="F46" s="114">
        <v>485642.17180000001</v>
      </c>
      <c r="G46" s="114">
        <v>3812.8856000000001</v>
      </c>
      <c r="H46" s="114">
        <v>35481.96</v>
      </c>
      <c r="I46" s="114">
        <v>3785.8807999999999</v>
      </c>
      <c r="J46" s="114">
        <v>12421.734400000001</v>
      </c>
      <c r="K46" s="114">
        <v>6403.3728200000005</v>
      </c>
      <c r="L46" s="114">
        <v>24241.256800000003</v>
      </c>
      <c r="M46" s="114">
        <v>-5498.2394000000004</v>
      </c>
      <c r="N46" s="114">
        <v>2228.6293000000001</v>
      </c>
      <c r="O46" s="114">
        <v>559.46</v>
      </c>
      <c r="P46" s="115" t="s">
        <v>168</v>
      </c>
      <c r="Q46" s="114">
        <v>2961.3437599999997</v>
      </c>
      <c r="R46" s="114">
        <v>119280</v>
      </c>
      <c r="S46" s="114">
        <v>-15632.196550000001</v>
      </c>
      <c r="T46" s="114">
        <v>11059.097699999998</v>
      </c>
      <c r="U46" s="114">
        <v>4190.5451800000001</v>
      </c>
      <c r="V46" s="114">
        <v>7004.330939999998</v>
      </c>
      <c r="W46" s="114">
        <v>36079.729599999999</v>
      </c>
      <c r="X46" s="114">
        <v>102312.75109999999</v>
      </c>
      <c r="Y46" s="114">
        <v>170297.2286</v>
      </c>
      <c r="Z46" s="114">
        <v>149143.92012</v>
      </c>
      <c r="AA46" s="114">
        <v>272577.67004</v>
      </c>
      <c r="AB46" s="114">
        <v>4139.1185000000005</v>
      </c>
      <c r="AC46" s="114">
        <v>8757.7242499999993</v>
      </c>
      <c r="AD46" s="114">
        <v>2699.5102200000006</v>
      </c>
      <c r="AE46" s="91">
        <v>348.53422</v>
      </c>
      <c r="AF46" s="180">
        <v>34.5</v>
      </c>
      <c r="AG46" s="185"/>
    </row>
    <row r="47" spans="1:33" ht="17.25" customHeight="1" x14ac:dyDescent="0.25">
      <c r="A47" s="120">
        <v>42323</v>
      </c>
      <c r="B47" s="111">
        <v>516.86930000000007</v>
      </c>
      <c r="C47" s="111">
        <v>254.1755</v>
      </c>
      <c r="D47" s="111">
        <v>5</v>
      </c>
      <c r="E47" s="111">
        <v>3505.01523</v>
      </c>
      <c r="F47" s="111">
        <v>583082.93507999997</v>
      </c>
      <c r="G47" s="111">
        <v>8457.9821999999986</v>
      </c>
      <c r="H47" s="111">
        <v>40022.562069999993</v>
      </c>
      <c r="I47" s="111">
        <v>203.63264999999998</v>
      </c>
      <c r="J47" s="111">
        <v>7376.5615400000006</v>
      </c>
      <c r="K47" s="111">
        <v>1674.45705</v>
      </c>
      <c r="L47" s="111">
        <v>40737.866999999991</v>
      </c>
      <c r="M47" s="111">
        <v>64.039500000000004</v>
      </c>
      <c r="N47" s="111">
        <v>8403.768759999999</v>
      </c>
      <c r="O47" s="111">
        <v>280.11500000000001</v>
      </c>
      <c r="P47" s="112" t="s">
        <v>168</v>
      </c>
      <c r="Q47" s="111">
        <v>800.09522000000004</v>
      </c>
      <c r="R47" s="111">
        <v>178576</v>
      </c>
      <c r="S47" s="111">
        <v>4958.5235599999996</v>
      </c>
      <c r="T47" s="111">
        <v>12050.780060000001</v>
      </c>
      <c r="U47" s="111">
        <v>6012.8805300000004</v>
      </c>
      <c r="V47" s="111">
        <v>1830.1264000000001</v>
      </c>
      <c r="W47" s="111">
        <v>85296.159</v>
      </c>
      <c r="X47" s="111">
        <v>125620.34393999999</v>
      </c>
      <c r="Y47" s="111">
        <v>200223.13735999999</v>
      </c>
      <c r="Z47" s="111">
        <v>210781.7236</v>
      </c>
      <c r="AA47" s="111">
        <v>285034</v>
      </c>
      <c r="AB47" s="111">
        <v>1002.5556</v>
      </c>
      <c r="AC47" s="111">
        <v>13874.682780000001</v>
      </c>
      <c r="AD47" s="111">
        <v>2249.0293399999996</v>
      </c>
      <c r="AE47" s="111">
        <v>63.750900000000009</v>
      </c>
      <c r="AF47" s="181">
        <v>150</v>
      </c>
      <c r="AG47" s="185"/>
    </row>
    <row r="48" spans="1:33" ht="17.25" customHeight="1" thickBot="1" x14ac:dyDescent="0.3">
      <c r="A48" s="119">
        <v>42353</v>
      </c>
      <c r="B48" s="108">
        <v>84308.6783</v>
      </c>
      <c r="C48" s="108">
        <v>91.535699999999991</v>
      </c>
      <c r="D48" s="108">
        <v>10</v>
      </c>
      <c r="E48" s="108">
        <v>4415.1205599999994</v>
      </c>
      <c r="F48" s="108">
        <v>563193.47080000001</v>
      </c>
      <c r="G48" s="108">
        <v>7928.1654000000008</v>
      </c>
      <c r="H48" s="108">
        <v>36275.738799999999</v>
      </c>
      <c r="I48" s="108">
        <v>2738.5464400000001</v>
      </c>
      <c r="J48" s="108">
        <v>7169.3435799999997</v>
      </c>
      <c r="K48" s="108">
        <v>5629.5182600000007</v>
      </c>
      <c r="L48" s="108">
        <v>31109.462999999996</v>
      </c>
      <c r="M48" s="108">
        <v>64.039500000000004</v>
      </c>
      <c r="N48" s="108">
        <v>16450.0013</v>
      </c>
      <c r="O48" s="108">
        <v>464.61500000000001</v>
      </c>
      <c r="P48" s="109" t="s">
        <v>168</v>
      </c>
      <c r="Q48" s="108">
        <v>1110.4837600000001</v>
      </c>
      <c r="R48" s="108">
        <v>147591</v>
      </c>
      <c r="S48" s="108">
        <v>15177.90724</v>
      </c>
      <c r="T48" s="108">
        <v>12666.524379999999</v>
      </c>
      <c r="U48" s="108">
        <v>3587.0202100000001</v>
      </c>
      <c r="V48" s="108">
        <v>3265.4773</v>
      </c>
      <c r="W48" s="108">
        <v>34767.2376</v>
      </c>
      <c r="X48" s="108">
        <v>91760</v>
      </c>
      <c r="Y48" s="108">
        <v>190005</v>
      </c>
      <c r="Z48" s="108">
        <v>199158.48610000001</v>
      </c>
      <c r="AA48" s="108">
        <v>203134.18479999999</v>
      </c>
      <c r="AB48" s="108">
        <v>731.44345999999996</v>
      </c>
      <c r="AC48" s="108">
        <v>8954.3936200000007</v>
      </c>
      <c r="AD48" s="108">
        <v>824.53269999999998</v>
      </c>
      <c r="AE48" s="108">
        <v>27.378100000000003</v>
      </c>
      <c r="AF48" s="182">
        <v>0</v>
      </c>
      <c r="AG48" s="185"/>
    </row>
    <row r="49" spans="1:33" ht="17.25" customHeight="1" x14ac:dyDescent="0.25">
      <c r="A49" s="118">
        <v>42385</v>
      </c>
      <c r="B49" s="114">
        <v>232.47640000000001</v>
      </c>
      <c r="C49" s="114">
        <v>788.38925000000006</v>
      </c>
      <c r="D49" s="114">
        <v>657.596</v>
      </c>
      <c r="E49" s="114">
        <v>6115.3105999999998</v>
      </c>
      <c r="F49" s="114">
        <v>389748.43280000001</v>
      </c>
      <c r="G49" s="114">
        <v>3358.8181999999997</v>
      </c>
      <c r="H49" s="114">
        <v>46831.670299999998</v>
      </c>
      <c r="I49" s="114">
        <v>2491.2000299999995</v>
      </c>
      <c r="J49" s="114">
        <v>7561.3576799999992</v>
      </c>
      <c r="K49" s="114">
        <v>6445.7091400000008</v>
      </c>
      <c r="L49" s="114">
        <v>35799.754780000003</v>
      </c>
      <c r="M49" s="114">
        <v>0</v>
      </c>
      <c r="N49" s="114">
        <v>5513.8825000000006</v>
      </c>
      <c r="O49" s="114">
        <v>77.174999999999997</v>
      </c>
      <c r="P49" s="115" t="s">
        <v>168</v>
      </c>
      <c r="Q49" s="114">
        <v>2095.5860600000001</v>
      </c>
      <c r="R49" s="114">
        <v>123492</v>
      </c>
      <c r="S49" s="114">
        <v>9418.5285299999996</v>
      </c>
      <c r="T49" s="114">
        <v>7384.9369299999998</v>
      </c>
      <c r="U49" s="114">
        <v>4269.8420800000004</v>
      </c>
      <c r="V49" s="114">
        <v>8610.701500000001</v>
      </c>
      <c r="W49" s="114">
        <v>31025.970799999999</v>
      </c>
      <c r="X49" s="114">
        <v>108509.4218</v>
      </c>
      <c r="Y49" s="114">
        <v>115111.53020000001</v>
      </c>
      <c r="Z49" s="114">
        <v>143736.83970000001</v>
      </c>
      <c r="AA49" s="114">
        <v>138508</v>
      </c>
      <c r="AB49" s="114">
        <v>8555.4465999999993</v>
      </c>
      <c r="AC49" s="114">
        <v>5364.7798900000007</v>
      </c>
      <c r="AD49" s="114">
        <v>2439.4021400000001</v>
      </c>
      <c r="AE49" s="91">
        <v>42.187600000000003</v>
      </c>
      <c r="AF49" s="180">
        <v>109.25</v>
      </c>
      <c r="AG49" s="185"/>
    </row>
    <row r="50" spans="1:33" ht="17.25" customHeight="1" x14ac:dyDescent="0.25">
      <c r="A50" s="117">
        <v>42416</v>
      </c>
      <c r="B50" s="111">
        <v>2460.1393499999999</v>
      </c>
      <c r="C50" s="111">
        <v>26808.286949999998</v>
      </c>
      <c r="D50" s="111">
        <v>281.2276</v>
      </c>
      <c r="E50" s="111">
        <v>13002.215780000004</v>
      </c>
      <c r="F50" s="111">
        <v>635320.23800000001</v>
      </c>
      <c r="G50" s="111">
        <v>14785.383699999997</v>
      </c>
      <c r="H50" s="111">
        <v>77502.321719999993</v>
      </c>
      <c r="I50" s="111">
        <v>10284.800790000005</v>
      </c>
      <c r="J50" s="111">
        <v>18435.266659999998</v>
      </c>
      <c r="K50" s="111">
        <v>7095.6514100000004</v>
      </c>
      <c r="L50" s="111">
        <v>2782.5034000000005</v>
      </c>
      <c r="M50" s="111">
        <v>1348.0395000000001</v>
      </c>
      <c r="N50" s="111">
        <v>2239.3368</v>
      </c>
      <c r="O50" s="111">
        <v>481.71500000000003</v>
      </c>
      <c r="P50" s="112" t="s">
        <v>168</v>
      </c>
      <c r="Q50" s="111">
        <v>3319.9382800000003</v>
      </c>
      <c r="R50" s="111">
        <v>155837.5</v>
      </c>
      <c r="S50" s="111">
        <v>50758.202109999991</v>
      </c>
      <c r="T50" s="111">
        <v>18899.531809999997</v>
      </c>
      <c r="U50" s="111">
        <v>15442.843060000001</v>
      </c>
      <c r="V50" s="111">
        <v>7688.6795499999998</v>
      </c>
      <c r="W50" s="111">
        <v>38262.682199999996</v>
      </c>
      <c r="X50" s="111">
        <v>89344.941800000001</v>
      </c>
      <c r="Y50" s="111">
        <v>157223.10384</v>
      </c>
      <c r="Z50" s="111">
        <v>163352.43327000001</v>
      </c>
      <c r="AA50" s="111">
        <v>90738.164999999994</v>
      </c>
      <c r="AB50" s="111">
        <v>4817.3415599999998</v>
      </c>
      <c r="AC50" s="111">
        <v>16246.666930000003</v>
      </c>
      <c r="AD50" s="111">
        <v>20401.242829999999</v>
      </c>
      <c r="AE50" s="111">
        <v>144.36966999999999</v>
      </c>
      <c r="AF50" s="181">
        <v>0</v>
      </c>
      <c r="AG50" s="185"/>
    </row>
    <row r="51" spans="1:33" ht="17.25" customHeight="1" thickBot="1" x14ac:dyDescent="0.3">
      <c r="A51" s="116">
        <v>42445</v>
      </c>
      <c r="B51" s="108">
        <v>1910.1505999999999</v>
      </c>
      <c r="C51" s="108">
        <v>40093.429179999985</v>
      </c>
      <c r="D51" s="108">
        <v>36495.108399999997</v>
      </c>
      <c r="E51" s="108">
        <v>15007.499080000005</v>
      </c>
      <c r="F51" s="108">
        <v>426964.23442999995</v>
      </c>
      <c r="G51" s="108">
        <v>16365.507500000003</v>
      </c>
      <c r="H51" s="108">
        <v>88694.425789999979</v>
      </c>
      <c r="I51" s="108">
        <v>9407.7864000000009</v>
      </c>
      <c r="J51" s="108">
        <v>70973.921940000015</v>
      </c>
      <c r="K51" s="108">
        <v>10562.42978</v>
      </c>
      <c r="L51" s="108">
        <v>31073.228550000003</v>
      </c>
      <c r="M51" s="108">
        <v>484.03949999999998</v>
      </c>
      <c r="N51" s="108">
        <v>4302.66626</v>
      </c>
      <c r="O51" s="108">
        <v>223.49250000000001</v>
      </c>
      <c r="P51" s="109" t="s">
        <v>168</v>
      </c>
      <c r="Q51" s="108">
        <v>3693.7055600000003</v>
      </c>
      <c r="R51" s="108">
        <v>114330</v>
      </c>
      <c r="S51" s="108">
        <v>71268.688359999986</v>
      </c>
      <c r="T51" s="108">
        <v>41858.286460000003</v>
      </c>
      <c r="U51" s="108">
        <v>20272.450950000006</v>
      </c>
      <c r="V51" s="108">
        <v>48412.264499999997</v>
      </c>
      <c r="W51" s="108">
        <v>30922.016799999998</v>
      </c>
      <c r="X51" s="108">
        <v>121180.82625000001</v>
      </c>
      <c r="Y51" s="108">
        <v>155374.084</v>
      </c>
      <c r="Z51" s="108">
        <v>183069.38046000001</v>
      </c>
      <c r="AA51" s="108">
        <v>312731.76104999997</v>
      </c>
      <c r="AB51" s="108">
        <v>20905.789450000004</v>
      </c>
      <c r="AC51" s="108">
        <v>83473.673679999978</v>
      </c>
      <c r="AD51" s="108">
        <v>15750.61519</v>
      </c>
      <c r="AE51" s="108">
        <v>460.60866000000004</v>
      </c>
      <c r="AF51" s="182">
        <v>3340.7952</v>
      </c>
      <c r="AG51" s="185"/>
    </row>
    <row r="52" spans="1:33" ht="17.25" customHeight="1" x14ac:dyDescent="0.25">
      <c r="A52" s="113">
        <v>42476</v>
      </c>
      <c r="B52" s="114">
        <v>6778.9494000000013</v>
      </c>
      <c r="C52" s="114">
        <v>15714.627200000001</v>
      </c>
      <c r="D52" s="114">
        <v>85</v>
      </c>
      <c r="E52" s="114">
        <v>9075.6717600000011</v>
      </c>
      <c r="F52" s="114">
        <v>405210.86119999998</v>
      </c>
      <c r="G52" s="114">
        <v>11332.528299999998</v>
      </c>
      <c r="H52" s="114">
        <v>162499.46252000003</v>
      </c>
      <c r="I52" s="114">
        <v>6808.5284000000001</v>
      </c>
      <c r="J52" s="114">
        <v>19537.354419999996</v>
      </c>
      <c r="K52" s="114">
        <v>17142.590820000001</v>
      </c>
      <c r="L52" s="114">
        <v>23116.120299999999</v>
      </c>
      <c r="M52" s="114">
        <v>1327.4955</v>
      </c>
      <c r="N52" s="114">
        <v>14363.54235</v>
      </c>
      <c r="O52" s="114">
        <v>445.14499999999998</v>
      </c>
      <c r="P52" s="115" t="s">
        <v>168</v>
      </c>
      <c r="Q52" s="114">
        <v>7699.7619600000007</v>
      </c>
      <c r="R52" s="114">
        <v>123464</v>
      </c>
      <c r="S52" s="114">
        <v>54257.707119999985</v>
      </c>
      <c r="T52" s="114">
        <v>61398.192820000004</v>
      </c>
      <c r="U52" s="114">
        <v>49343.459659999993</v>
      </c>
      <c r="V52" s="114">
        <v>10392.662249999999</v>
      </c>
      <c r="W52" s="114">
        <v>24416.296700000003</v>
      </c>
      <c r="X52" s="114">
        <v>96937</v>
      </c>
      <c r="Y52" s="114">
        <v>140015</v>
      </c>
      <c r="Z52" s="114">
        <v>164243.55531999998</v>
      </c>
      <c r="AA52" s="114">
        <v>378361</v>
      </c>
      <c r="AB52" s="114">
        <v>2801.2492000000002</v>
      </c>
      <c r="AC52" s="114">
        <v>41532.285459999999</v>
      </c>
      <c r="AD52" s="114">
        <v>28495.971940000007</v>
      </c>
      <c r="AE52" s="91">
        <v>531.14182000000005</v>
      </c>
      <c r="AF52" s="180">
        <v>2462.1716000000001</v>
      </c>
      <c r="AG52" s="185"/>
    </row>
    <row r="53" spans="1:33" ht="17.25" customHeight="1" x14ac:dyDescent="0.25">
      <c r="A53" s="110">
        <v>42506</v>
      </c>
      <c r="B53" s="111">
        <v>40641.547200000008</v>
      </c>
      <c r="C53" s="111">
        <v>1755.0704999999998</v>
      </c>
      <c r="D53" s="111">
        <v>25602.346400000002</v>
      </c>
      <c r="E53" s="111">
        <v>5172.3797700000005</v>
      </c>
      <c r="F53" s="111">
        <v>303268.80278000003</v>
      </c>
      <c r="G53" s="111">
        <v>4310</v>
      </c>
      <c r="H53" s="111">
        <v>88167.160979999986</v>
      </c>
      <c r="I53" s="111">
        <v>7603.887099999999</v>
      </c>
      <c r="J53" s="111">
        <v>28119.040280000001</v>
      </c>
      <c r="K53" s="111">
        <v>9867.1612399999995</v>
      </c>
      <c r="L53" s="111">
        <v>6553.8421000000008</v>
      </c>
      <c r="M53" s="111">
        <v>65.034900000000007</v>
      </c>
      <c r="N53" s="111">
        <v>6581.1428599999999</v>
      </c>
      <c r="O53" s="111">
        <v>49.5</v>
      </c>
      <c r="P53" s="112" t="s">
        <v>168</v>
      </c>
      <c r="Q53" s="111">
        <v>3557.6391899999999</v>
      </c>
      <c r="R53" s="111">
        <v>155841.7696</v>
      </c>
      <c r="S53" s="111">
        <v>26414.943439999999</v>
      </c>
      <c r="T53" s="111">
        <v>31131.164299999997</v>
      </c>
      <c r="U53" s="111">
        <v>28026.420609999994</v>
      </c>
      <c r="V53" s="111">
        <v>12925.114100000001</v>
      </c>
      <c r="W53" s="111">
        <v>6404.8923999999997</v>
      </c>
      <c r="X53" s="111">
        <v>69862.809899999993</v>
      </c>
      <c r="Y53" s="111">
        <v>89995</v>
      </c>
      <c r="Z53" s="111">
        <v>197850.21506000002</v>
      </c>
      <c r="AA53" s="111">
        <v>180220.24015999999</v>
      </c>
      <c r="AB53" s="111">
        <v>7707.5461999999989</v>
      </c>
      <c r="AC53" s="111">
        <v>77884.811020000008</v>
      </c>
      <c r="AD53" s="111">
        <v>9964.3528299999998</v>
      </c>
      <c r="AE53" s="111">
        <v>4300.67706</v>
      </c>
      <c r="AF53" s="181">
        <v>1544.0436</v>
      </c>
      <c r="AG53" s="185"/>
    </row>
    <row r="54" spans="1:33" ht="17.25" customHeight="1" thickBot="1" x14ac:dyDescent="0.3">
      <c r="A54" s="107">
        <v>42537</v>
      </c>
      <c r="B54" s="108">
        <v>13048.69585</v>
      </c>
      <c r="C54" s="108">
        <v>1284.93985</v>
      </c>
      <c r="D54" s="108">
        <v>27549.010399999999</v>
      </c>
      <c r="E54" s="108">
        <v>4071.51577</v>
      </c>
      <c r="F54" s="108">
        <v>99162.108600000007</v>
      </c>
      <c r="G54" s="108">
        <v>3176.9860499999995</v>
      </c>
      <c r="H54" s="108">
        <v>131863.13257000005</v>
      </c>
      <c r="I54" s="108">
        <v>13129.943700000002</v>
      </c>
      <c r="J54" s="108">
        <v>22894.786689999994</v>
      </c>
      <c r="K54" s="108">
        <v>16942.957729999998</v>
      </c>
      <c r="L54" s="108">
        <v>5500.0522000000001</v>
      </c>
      <c r="M54" s="108">
        <v>422.84249999999997</v>
      </c>
      <c r="N54" s="108">
        <v>3030.5255999999999</v>
      </c>
      <c r="O54" s="108">
        <v>437.34749999999997</v>
      </c>
      <c r="P54" s="109" t="s">
        <v>168</v>
      </c>
      <c r="Q54" s="108">
        <v>6113.6596199999985</v>
      </c>
      <c r="R54" s="108">
        <v>49854.186450000001</v>
      </c>
      <c r="S54" s="108">
        <v>70639.40284000001</v>
      </c>
      <c r="T54" s="108">
        <v>93125.531390000033</v>
      </c>
      <c r="U54" s="108">
        <v>25231.20407</v>
      </c>
      <c r="V54" s="108">
        <v>8455.6010999999999</v>
      </c>
      <c r="W54" s="108">
        <v>366.44100000000003</v>
      </c>
      <c r="X54" s="108">
        <v>24120</v>
      </c>
      <c r="Y54" s="108">
        <v>10000</v>
      </c>
      <c r="Z54" s="108">
        <v>70162.228709999996</v>
      </c>
      <c r="AA54" s="108">
        <v>28151.003700000001</v>
      </c>
      <c r="AB54" s="108">
        <v>11550.725900000003</v>
      </c>
      <c r="AC54" s="108">
        <v>92934.40317000002</v>
      </c>
      <c r="AD54" s="108">
        <v>9892.3018000000011</v>
      </c>
      <c r="AE54" s="108">
        <v>436.55916000000002</v>
      </c>
      <c r="AF54" s="182">
        <v>150</v>
      </c>
      <c r="AG54" s="185"/>
    </row>
    <row r="55" spans="1:33" ht="17.25" customHeight="1" x14ac:dyDescent="0.25">
      <c r="A55" s="123">
        <v>42567</v>
      </c>
      <c r="B55" s="111">
        <v>8497.719219999999</v>
      </c>
      <c r="C55" s="111">
        <v>1148.4402799999998</v>
      </c>
      <c r="D55" s="111">
        <v>71067.522800000006</v>
      </c>
      <c r="E55" s="111">
        <v>2462.1032600000003</v>
      </c>
      <c r="F55" s="111">
        <v>113175.27903000001</v>
      </c>
      <c r="G55" s="111">
        <v>2623.3117999999999</v>
      </c>
      <c r="H55" s="111">
        <v>55435.367649999986</v>
      </c>
      <c r="I55" s="111">
        <v>4994.3539099999989</v>
      </c>
      <c r="J55" s="111">
        <v>11461.9704</v>
      </c>
      <c r="K55" s="111">
        <v>5732.30501</v>
      </c>
      <c r="L55" s="111">
        <v>2987.9713499999998</v>
      </c>
      <c r="M55" s="111">
        <v>76.009500000000003</v>
      </c>
      <c r="N55" s="111">
        <v>3294.2431999999999</v>
      </c>
      <c r="O55" s="111">
        <v>77.174999999999997</v>
      </c>
      <c r="P55" s="112" t="s">
        <v>168</v>
      </c>
      <c r="Q55" s="111">
        <v>2440.9552400000002</v>
      </c>
      <c r="R55" s="111">
        <v>83823</v>
      </c>
      <c r="S55" s="111">
        <v>25532.839059999998</v>
      </c>
      <c r="T55" s="111">
        <v>29178.639770000002</v>
      </c>
      <c r="U55" s="111">
        <v>8203.5868399999999</v>
      </c>
      <c r="V55" s="111">
        <v>13590.421499999999</v>
      </c>
      <c r="W55" s="111">
        <v>3150</v>
      </c>
      <c r="X55" s="111">
        <v>24894.02922</v>
      </c>
      <c r="Y55" s="111">
        <v>69.888000000000005</v>
      </c>
      <c r="Z55" s="111">
        <v>50663.196759999999</v>
      </c>
      <c r="AA55" s="111">
        <v>18562.07936</v>
      </c>
      <c r="AB55" s="111">
        <v>17271.187050000004</v>
      </c>
      <c r="AC55" s="111">
        <v>27363.912280000004</v>
      </c>
      <c r="AD55" s="111">
        <v>5510.6819799999994</v>
      </c>
      <c r="AE55" s="91">
        <v>347.29826000000003</v>
      </c>
      <c r="AF55" s="180">
        <v>225</v>
      </c>
      <c r="AG55" s="185"/>
    </row>
    <row r="56" spans="1:33" ht="17.25" customHeight="1" x14ac:dyDescent="0.25">
      <c r="A56" s="123">
        <v>42598</v>
      </c>
      <c r="B56" s="111">
        <v>2737.3335999999999</v>
      </c>
      <c r="C56" s="111">
        <v>462.48710000000005</v>
      </c>
      <c r="D56" s="111">
        <v>75</v>
      </c>
      <c r="E56" s="111">
        <v>3586.0252999999998</v>
      </c>
      <c r="F56" s="111">
        <v>52782.05290000001</v>
      </c>
      <c r="G56" s="111">
        <v>4196.7423000000008</v>
      </c>
      <c r="H56" s="111">
        <v>68187.354289999988</v>
      </c>
      <c r="I56" s="111">
        <v>2674.2318500000001</v>
      </c>
      <c r="J56" s="111">
        <v>9290.7464299999992</v>
      </c>
      <c r="K56" s="111">
        <v>3359.7148400000001</v>
      </c>
      <c r="L56" s="111">
        <v>15097.531300000001</v>
      </c>
      <c r="M56" s="111">
        <v>555.41100000000006</v>
      </c>
      <c r="N56" s="111">
        <v>4068.9567499999998</v>
      </c>
      <c r="O56" s="111">
        <v>481.71500000000003</v>
      </c>
      <c r="P56" s="112" t="s">
        <v>168</v>
      </c>
      <c r="Q56" s="111">
        <v>702.87666000000002</v>
      </c>
      <c r="R56" s="111">
        <v>12280.636200000001</v>
      </c>
      <c r="S56" s="111">
        <v>6669.4412499999989</v>
      </c>
      <c r="T56" s="111">
        <v>17675.179329999999</v>
      </c>
      <c r="U56" s="111">
        <v>21431.727379999997</v>
      </c>
      <c r="V56" s="111">
        <v>5316.3772500000014</v>
      </c>
      <c r="W56" s="111">
        <v>0</v>
      </c>
      <c r="X56" s="111">
        <v>17370</v>
      </c>
      <c r="Y56" s="111">
        <v>9.8879999999999999</v>
      </c>
      <c r="Z56" s="111">
        <v>15234.603500000001</v>
      </c>
      <c r="AA56" s="111">
        <v>16235</v>
      </c>
      <c r="AB56" s="111">
        <v>599.98160000000007</v>
      </c>
      <c r="AC56" s="111">
        <v>22038.126300000004</v>
      </c>
      <c r="AD56" s="111">
        <v>7575.1999999999989</v>
      </c>
      <c r="AE56" s="111">
        <v>70.607900000000001</v>
      </c>
      <c r="AF56" s="181">
        <v>0</v>
      </c>
      <c r="AG56" s="185"/>
    </row>
    <row r="57" spans="1:33" ht="17.25" customHeight="1" thickBot="1" x14ac:dyDescent="0.3">
      <c r="A57" s="122">
        <v>42629</v>
      </c>
      <c r="B57" s="108">
        <v>1259.615</v>
      </c>
      <c r="C57" s="108">
        <v>709.0680000000001</v>
      </c>
      <c r="D57" s="108">
        <v>25</v>
      </c>
      <c r="E57" s="108">
        <v>1452.03334</v>
      </c>
      <c r="F57" s="108">
        <v>147012.89708</v>
      </c>
      <c r="G57" s="108">
        <v>3389.6931599999998</v>
      </c>
      <c r="H57" s="108">
        <v>49868.661519999994</v>
      </c>
      <c r="I57" s="108">
        <v>4616.3565999999992</v>
      </c>
      <c r="J57" s="108">
        <v>9229.742040000001</v>
      </c>
      <c r="K57" s="108">
        <v>6021.2099499999995</v>
      </c>
      <c r="L57" s="108">
        <v>1605.4726599999999</v>
      </c>
      <c r="M57" s="108">
        <v>-949.78149999999982</v>
      </c>
      <c r="N57" s="108">
        <v>8947.9346600000008</v>
      </c>
      <c r="O57" s="108">
        <v>223.49250000000001</v>
      </c>
      <c r="P57" s="109" t="s">
        <v>168</v>
      </c>
      <c r="Q57" s="108">
        <v>1028.9177400000001</v>
      </c>
      <c r="R57" s="108">
        <v>66962</v>
      </c>
      <c r="S57" s="108">
        <v>13920.597309999997</v>
      </c>
      <c r="T57" s="108">
        <v>29905.593009999993</v>
      </c>
      <c r="U57" s="108">
        <v>2984.45091</v>
      </c>
      <c r="V57" s="108">
        <v>6969.0598599999994</v>
      </c>
      <c r="W57" s="108">
        <v>1896</v>
      </c>
      <c r="X57" s="108">
        <v>26665.931499999999</v>
      </c>
      <c r="Y57" s="108">
        <v>30144.90236</v>
      </c>
      <c r="Z57" s="108">
        <v>96329.124100000001</v>
      </c>
      <c r="AA57" s="108">
        <v>65126.079360000003</v>
      </c>
      <c r="AB57" s="108">
        <v>528.36699999999996</v>
      </c>
      <c r="AC57" s="108">
        <v>28107.47133</v>
      </c>
      <c r="AD57" s="108">
        <v>2022.1505000000002</v>
      </c>
      <c r="AE57" s="108">
        <v>75.619599999999991</v>
      </c>
      <c r="AF57" s="182">
        <v>60</v>
      </c>
      <c r="AG57" s="185"/>
    </row>
    <row r="58" spans="1:33" ht="17.25" customHeight="1" x14ac:dyDescent="0.25">
      <c r="A58" s="121">
        <v>42659</v>
      </c>
      <c r="B58" s="114">
        <v>2476.8697000000002</v>
      </c>
      <c r="C58" s="114">
        <v>313.89975000000004</v>
      </c>
      <c r="D58" s="114">
        <v>75</v>
      </c>
      <c r="E58" s="114">
        <v>3592.56603</v>
      </c>
      <c r="F58" s="114">
        <v>610473.90197999997</v>
      </c>
      <c r="G58" s="114">
        <v>10442.52075</v>
      </c>
      <c r="H58" s="114">
        <v>27883.869690000003</v>
      </c>
      <c r="I58" s="114">
        <v>4450.72</v>
      </c>
      <c r="J58" s="114">
        <v>11137.215040000001</v>
      </c>
      <c r="K58" s="114">
        <v>3621.2692000000002</v>
      </c>
      <c r="L58" s="114">
        <v>10435.234</v>
      </c>
      <c r="M58" s="114">
        <v>75.411000000000001</v>
      </c>
      <c r="N58" s="114">
        <v>13524.692999999999</v>
      </c>
      <c r="O58" s="114">
        <v>445.14499999999998</v>
      </c>
      <c r="P58" s="115" t="s">
        <v>168</v>
      </c>
      <c r="Q58" s="114">
        <v>1356.5906099999997</v>
      </c>
      <c r="R58" s="114">
        <v>198148</v>
      </c>
      <c r="S58" s="114">
        <v>9295.4869500000004</v>
      </c>
      <c r="T58" s="114">
        <v>19914.614510000003</v>
      </c>
      <c r="U58" s="114">
        <v>4589.2401000000009</v>
      </c>
      <c r="V58" s="114">
        <v>5834.9913099999994</v>
      </c>
      <c r="W58" s="114">
        <v>56289.533199999991</v>
      </c>
      <c r="X58" s="114">
        <v>103108.74464</v>
      </c>
      <c r="Y58" s="114">
        <v>145172.47966000001</v>
      </c>
      <c r="Z58" s="114">
        <v>218956.79485000001</v>
      </c>
      <c r="AA58" s="114">
        <v>215476.64455999999</v>
      </c>
      <c r="AB58" s="114">
        <v>2195.94292</v>
      </c>
      <c r="AC58" s="114">
        <v>15422.336550000002</v>
      </c>
      <c r="AD58" s="114">
        <v>2430.5545999999999</v>
      </c>
      <c r="AE58" s="91">
        <v>244.53117</v>
      </c>
      <c r="AF58" s="180">
        <v>150</v>
      </c>
      <c r="AG58" s="185"/>
    </row>
    <row r="59" spans="1:33" ht="17.25" customHeight="1" x14ac:dyDescent="0.25">
      <c r="A59" s="120">
        <v>42690</v>
      </c>
      <c r="B59" s="111">
        <v>121902.65849999999</v>
      </c>
      <c r="C59" s="111">
        <v>111.99977999999999</v>
      </c>
      <c r="D59" s="111">
        <v>1632.296</v>
      </c>
      <c r="E59" s="111">
        <v>3869.1428600000008</v>
      </c>
      <c r="F59" s="111">
        <v>495397.23600000003</v>
      </c>
      <c r="G59" s="111">
        <v>4228.4623599999995</v>
      </c>
      <c r="H59" s="111">
        <v>27157.038699999997</v>
      </c>
      <c r="I59" s="111">
        <v>1862.65211</v>
      </c>
      <c r="J59" s="111">
        <v>39173.551509999998</v>
      </c>
      <c r="K59" s="111">
        <v>2928.7131099999992</v>
      </c>
      <c r="L59" s="111">
        <v>30072.469799999999</v>
      </c>
      <c r="M59" s="111">
        <v>629.03289999999993</v>
      </c>
      <c r="N59" s="111">
        <v>38158.505550000002</v>
      </c>
      <c r="O59" s="111">
        <v>49.5</v>
      </c>
      <c r="P59" s="112" t="s">
        <v>168</v>
      </c>
      <c r="Q59" s="111">
        <v>1062.85418</v>
      </c>
      <c r="R59" s="111">
        <v>147176.5</v>
      </c>
      <c r="S59" s="111">
        <v>37198.141529999994</v>
      </c>
      <c r="T59" s="111">
        <v>33763.147330000007</v>
      </c>
      <c r="U59" s="111">
        <v>1388.2468899999999</v>
      </c>
      <c r="V59" s="111">
        <v>6171.8331099999996</v>
      </c>
      <c r="W59" s="111">
        <v>24102.346799999999</v>
      </c>
      <c r="X59" s="111">
        <v>129303.6586</v>
      </c>
      <c r="Y59" s="111">
        <v>190083.93901</v>
      </c>
      <c r="Z59" s="111">
        <v>192210.75604000001</v>
      </c>
      <c r="AA59" s="111">
        <v>283165</v>
      </c>
      <c r="AB59" s="111">
        <v>873.12434000000007</v>
      </c>
      <c r="AC59" s="111">
        <v>27756.346590000005</v>
      </c>
      <c r="AD59" s="111">
        <v>1769.8966200000002</v>
      </c>
      <c r="AE59" s="111">
        <v>291.00051000000002</v>
      </c>
      <c r="AF59" s="181">
        <v>0</v>
      </c>
      <c r="AG59" s="185"/>
    </row>
    <row r="60" spans="1:33" ht="17.25" customHeight="1" thickBot="1" x14ac:dyDescent="0.3">
      <c r="A60" s="119">
        <v>42720</v>
      </c>
      <c r="B60" s="108">
        <v>30265.597999999998</v>
      </c>
      <c r="C60" s="108">
        <v>192.91320000000002</v>
      </c>
      <c r="D60" s="108">
        <v>1636.49</v>
      </c>
      <c r="E60" s="108">
        <v>4564.0861800000002</v>
      </c>
      <c r="F60" s="108">
        <v>381707.27294</v>
      </c>
      <c r="G60" s="108">
        <v>8980.8931399999983</v>
      </c>
      <c r="H60" s="108">
        <v>25642.00848</v>
      </c>
      <c r="I60" s="108">
        <v>2494.6753399999998</v>
      </c>
      <c r="J60" s="108">
        <v>20011.150079999999</v>
      </c>
      <c r="K60" s="108">
        <v>3101.6035099999999</v>
      </c>
      <c r="L60" s="108">
        <v>50641.214</v>
      </c>
      <c r="M60" s="108">
        <v>76.308750000000003</v>
      </c>
      <c r="N60" s="108">
        <v>7017.7451999999994</v>
      </c>
      <c r="O60" s="108">
        <v>437.34749999999997</v>
      </c>
      <c r="P60" s="109" t="s">
        <v>168</v>
      </c>
      <c r="Q60" s="108">
        <v>1274.9438700000003</v>
      </c>
      <c r="R60" s="108">
        <v>109775</v>
      </c>
      <c r="S60" s="108">
        <v>19102.490639999996</v>
      </c>
      <c r="T60" s="108">
        <v>15914.433060000001</v>
      </c>
      <c r="U60" s="108">
        <v>2652.79898</v>
      </c>
      <c r="V60" s="108">
        <v>3420.0335599999999</v>
      </c>
      <c r="W60" s="108">
        <v>40869.0285</v>
      </c>
      <c r="X60" s="108">
        <v>81657.441800000001</v>
      </c>
      <c r="Y60" s="108">
        <v>128740.47966</v>
      </c>
      <c r="Z60" s="108">
        <v>155004.00644</v>
      </c>
      <c r="AA60" s="108">
        <v>169915.79235999999</v>
      </c>
      <c r="AB60" s="108">
        <v>1307.7247400000001</v>
      </c>
      <c r="AC60" s="108">
        <v>13258.07912</v>
      </c>
      <c r="AD60" s="108">
        <v>1848.9817</v>
      </c>
      <c r="AE60" s="108">
        <v>128.72705999999999</v>
      </c>
      <c r="AF60" s="182">
        <v>0</v>
      </c>
      <c r="AG60" s="185"/>
    </row>
    <row r="61" spans="1:33" ht="17.25" customHeight="1" x14ac:dyDescent="0.25">
      <c r="A61" s="118">
        <v>42752</v>
      </c>
      <c r="B61" s="114">
        <v>34563.312499999993</v>
      </c>
      <c r="C61" s="114">
        <v>1084.6793</v>
      </c>
      <c r="D61" s="114">
        <v>1612.296</v>
      </c>
      <c r="E61" s="114">
        <v>7361.1282399999991</v>
      </c>
      <c r="F61" s="114">
        <v>418635.94319999998</v>
      </c>
      <c r="G61" s="114">
        <v>2261.9621999999999</v>
      </c>
      <c r="H61" s="114">
        <v>60858.829870000001</v>
      </c>
      <c r="I61" s="114">
        <v>4733.461150000001</v>
      </c>
      <c r="J61" s="114">
        <v>58407.007879999997</v>
      </c>
      <c r="K61" s="114">
        <v>5118.6833700000007</v>
      </c>
      <c r="L61" s="114">
        <v>20907.592799999999</v>
      </c>
      <c r="M61" s="114">
        <v>151.12125</v>
      </c>
      <c r="N61" s="114">
        <v>12987.78</v>
      </c>
      <c r="O61" s="114">
        <v>3230.415</v>
      </c>
      <c r="P61" s="115" t="s">
        <v>168</v>
      </c>
      <c r="Q61" s="114">
        <v>2518.2554099999998</v>
      </c>
      <c r="R61" s="114">
        <v>115796</v>
      </c>
      <c r="S61" s="114">
        <v>30452.53368</v>
      </c>
      <c r="T61" s="114">
        <v>36380.825240000006</v>
      </c>
      <c r="U61" s="114">
        <v>5311.1062300000021</v>
      </c>
      <c r="V61" s="114">
        <v>14330.600210000002</v>
      </c>
      <c r="W61" s="114">
        <v>10412.907800000001</v>
      </c>
      <c r="X61" s="114">
        <v>74989.916800000006</v>
      </c>
      <c r="Y61" s="114">
        <v>130187.94305999999</v>
      </c>
      <c r="Z61" s="114">
        <v>131413.07610999999</v>
      </c>
      <c r="AA61" s="114">
        <v>137617.5</v>
      </c>
      <c r="AB61" s="114">
        <v>12241.361990000001</v>
      </c>
      <c r="AC61" s="114">
        <v>33832.773239999995</v>
      </c>
      <c r="AD61" s="114">
        <v>17105.90036</v>
      </c>
      <c r="AE61" s="91">
        <v>438.79232999999999</v>
      </c>
      <c r="AF61" s="180">
        <v>0</v>
      </c>
      <c r="AG61" s="185"/>
    </row>
    <row r="62" spans="1:33" ht="17.25" customHeight="1" x14ac:dyDescent="0.25">
      <c r="A62" s="117">
        <v>42783</v>
      </c>
      <c r="B62" s="111">
        <v>151.809</v>
      </c>
      <c r="C62" s="111">
        <v>28679.305499999999</v>
      </c>
      <c r="D62" s="111">
        <v>30</v>
      </c>
      <c r="E62" s="111">
        <v>11960.710310000002</v>
      </c>
      <c r="F62" s="111">
        <v>390019.40528000006</v>
      </c>
      <c r="G62" s="111">
        <v>11234.501079999998</v>
      </c>
      <c r="H62" s="111">
        <v>87400.089639999991</v>
      </c>
      <c r="I62" s="111">
        <v>6289.3672699999997</v>
      </c>
      <c r="J62" s="111">
        <v>100404.74176999998</v>
      </c>
      <c r="K62" s="111">
        <v>6087.4862000000003</v>
      </c>
      <c r="L62" s="111">
        <v>10760</v>
      </c>
      <c r="M62" s="111">
        <v>753.31290000000013</v>
      </c>
      <c r="N62" s="111">
        <v>11178.908099999999</v>
      </c>
      <c r="O62" s="111">
        <v>338.30500000000001</v>
      </c>
      <c r="P62" s="112" t="s">
        <v>168</v>
      </c>
      <c r="Q62" s="111">
        <v>2738.4667199999999</v>
      </c>
      <c r="R62" s="111">
        <v>92192</v>
      </c>
      <c r="S62" s="111">
        <v>56148.910279999989</v>
      </c>
      <c r="T62" s="111">
        <v>50953.842400000001</v>
      </c>
      <c r="U62" s="111">
        <v>18756.721120000002</v>
      </c>
      <c r="V62" s="111">
        <v>2356.1593000000003</v>
      </c>
      <c r="W62" s="111">
        <v>8977.5460000000003</v>
      </c>
      <c r="X62" s="111">
        <v>67506.189039999997</v>
      </c>
      <c r="Y62" s="111">
        <v>115068</v>
      </c>
      <c r="Z62" s="111">
        <v>110261.2132</v>
      </c>
      <c r="AA62" s="111">
        <v>139929.96455999999</v>
      </c>
      <c r="AB62" s="111">
        <v>907.42274999999995</v>
      </c>
      <c r="AC62" s="111">
        <v>54491.507340000004</v>
      </c>
      <c r="AD62" s="111">
        <v>12580.959930000001</v>
      </c>
      <c r="AE62" s="111">
        <v>41.210599999999999</v>
      </c>
      <c r="AF62" s="181">
        <v>0</v>
      </c>
      <c r="AG62" s="185"/>
    </row>
    <row r="63" spans="1:33" ht="17.25" customHeight="1" thickBot="1" x14ac:dyDescent="0.3">
      <c r="A63" s="116">
        <v>42811</v>
      </c>
      <c r="B63" s="108">
        <v>2647.5904</v>
      </c>
      <c r="C63" s="108">
        <v>21163.16710000001</v>
      </c>
      <c r="D63" s="108">
        <v>384.94</v>
      </c>
      <c r="E63" s="108">
        <v>8424.0295399999995</v>
      </c>
      <c r="F63" s="108">
        <v>275180.82949999999</v>
      </c>
      <c r="G63" s="108">
        <v>7843.1705000000002</v>
      </c>
      <c r="H63" s="108">
        <v>56674.661419999989</v>
      </c>
      <c r="I63" s="108">
        <v>6721.4284000000007</v>
      </c>
      <c r="J63" s="108">
        <v>144792.28239999997</v>
      </c>
      <c r="K63" s="108">
        <v>6339.2531600000002</v>
      </c>
      <c r="L63" s="108">
        <v>14027.53796</v>
      </c>
      <c r="M63" s="108">
        <v>252.16770000000002</v>
      </c>
      <c r="N63" s="108">
        <v>11961.3609</v>
      </c>
      <c r="O63" s="108">
        <v>3330.99</v>
      </c>
      <c r="P63" s="109" t="s">
        <v>168</v>
      </c>
      <c r="Q63" s="108">
        <v>5681.0741400000006</v>
      </c>
      <c r="R63" s="108">
        <v>101203.856</v>
      </c>
      <c r="S63" s="108">
        <v>48735.700950000006</v>
      </c>
      <c r="T63" s="108">
        <v>122790.16565</v>
      </c>
      <c r="U63" s="108">
        <v>11879.455569999998</v>
      </c>
      <c r="V63" s="108">
        <v>38863.703269999998</v>
      </c>
      <c r="W63" s="108">
        <v>40809.943400000004</v>
      </c>
      <c r="X63" s="108">
        <v>56546.7048</v>
      </c>
      <c r="Y63" s="108">
        <v>100251.09752</v>
      </c>
      <c r="Z63" s="108">
        <v>93407.717470000003</v>
      </c>
      <c r="AA63" s="108">
        <v>210456</v>
      </c>
      <c r="AB63" s="108">
        <v>8815.6507299999994</v>
      </c>
      <c r="AC63" s="108">
        <v>116744.64754999998</v>
      </c>
      <c r="AD63" s="108">
        <v>16093.535550000001</v>
      </c>
      <c r="AE63" s="108">
        <v>563.57220999999993</v>
      </c>
      <c r="AF63" s="182">
        <v>8780.8955999999998</v>
      </c>
      <c r="AG63" s="185"/>
    </row>
    <row r="64" spans="1:33" ht="17.25" customHeight="1" x14ac:dyDescent="0.25">
      <c r="A64" s="113">
        <v>42842</v>
      </c>
      <c r="B64" s="114">
        <v>31000.0406</v>
      </c>
      <c r="C64" s="114">
        <v>10007.901330000001</v>
      </c>
      <c r="D64" s="114">
        <v>14113.465400000001</v>
      </c>
      <c r="E64" s="114">
        <v>6000.9547299999995</v>
      </c>
      <c r="F64" s="114">
        <v>237345.8909</v>
      </c>
      <c r="G64" s="114">
        <v>7192.2696999999998</v>
      </c>
      <c r="H64" s="114">
        <v>79692.388780000038</v>
      </c>
      <c r="I64" s="114">
        <v>6966.6566000000003</v>
      </c>
      <c r="J64" s="114">
        <v>181609.38472</v>
      </c>
      <c r="K64" s="114">
        <v>7255.7255100000002</v>
      </c>
      <c r="L64" s="114">
        <v>10742.401159999999</v>
      </c>
      <c r="M64" s="114">
        <v>-2891.6714999999999</v>
      </c>
      <c r="N64" s="114">
        <v>12632.479160000001</v>
      </c>
      <c r="O64" s="114">
        <v>1353.0750000000003</v>
      </c>
      <c r="P64" s="115" t="s">
        <v>168</v>
      </c>
      <c r="Q64" s="114">
        <v>3406.3331500000004</v>
      </c>
      <c r="R64" s="114">
        <v>56832</v>
      </c>
      <c r="S64" s="114">
        <v>31370.176599999995</v>
      </c>
      <c r="T64" s="114">
        <v>132101.71596000003</v>
      </c>
      <c r="U64" s="114">
        <v>12240.187000000002</v>
      </c>
      <c r="V64" s="114">
        <v>8627.7993599999991</v>
      </c>
      <c r="W64" s="114">
        <v>16177.4794</v>
      </c>
      <c r="X64" s="114">
        <v>35871.213759999999</v>
      </c>
      <c r="Y64" s="114">
        <v>100167.217</v>
      </c>
      <c r="Z64" s="114">
        <v>95635.927499999991</v>
      </c>
      <c r="AA64" s="114">
        <v>213242.22349999999</v>
      </c>
      <c r="AB64" s="114">
        <v>4613.0021000000006</v>
      </c>
      <c r="AC64" s="114">
        <v>102633.37539999999</v>
      </c>
      <c r="AD64" s="114">
        <v>10617.345309999999</v>
      </c>
      <c r="AE64" s="91">
        <v>44.866800000000005</v>
      </c>
      <c r="AF64" s="180">
        <v>0</v>
      </c>
      <c r="AG64" s="185"/>
    </row>
    <row r="65" spans="1:36" ht="17.25" customHeight="1" x14ac:dyDescent="0.25">
      <c r="A65" s="110">
        <v>42872</v>
      </c>
      <c r="B65" s="111">
        <v>84513.756620000015</v>
      </c>
      <c r="C65" s="111">
        <v>1661.5879999999997</v>
      </c>
      <c r="D65" s="111">
        <v>53538.558499999992</v>
      </c>
      <c r="E65" s="111">
        <v>7656.9315399999996</v>
      </c>
      <c r="F65" s="111">
        <v>211540.39048</v>
      </c>
      <c r="G65" s="111">
        <v>4238.1542000000009</v>
      </c>
      <c r="H65" s="111">
        <v>81249.655169999984</v>
      </c>
      <c r="I65" s="111">
        <v>10093.376699999997</v>
      </c>
      <c r="J65" s="111">
        <v>216276.1835999999</v>
      </c>
      <c r="K65" s="111">
        <v>12548.6914</v>
      </c>
      <c r="L65" s="111">
        <v>15617.798200000001</v>
      </c>
      <c r="M65" s="111">
        <v>550.42380000000003</v>
      </c>
      <c r="N65" s="111">
        <v>13651.603200000001</v>
      </c>
      <c r="O65" s="111">
        <v>734.14</v>
      </c>
      <c r="P65" s="112" t="s">
        <v>168</v>
      </c>
      <c r="Q65" s="111">
        <v>3668.5360000000001</v>
      </c>
      <c r="R65" s="111">
        <v>79286.5</v>
      </c>
      <c r="S65" s="111">
        <v>21511.654659999997</v>
      </c>
      <c r="T65" s="111">
        <v>158422.65891999996</v>
      </c>
      <c r="U65" s="111">
        <v>6578.7200200000007</v>
      </c>
      <c r="V65" s="111">
        <v>11553.5756</v>
      </c>
      <c r="W65" s="111">
        <v>2966.4259999999999</v>
      </c>
      <c r="X65" s="111">
        <v>51406.86724</v>
      </c>
      <c r="Y65" s="111">
        <v>59995</v>
      </c>
      <c r="Z65" s="111">
        <v>91928.977559999999</v>
      </c>
      <c r="AA65" s="111">
        <v>149761.14455999999</v>
      </c>
      <c r="AB65" s="111">
        <v>15031.737100000002</v>
      </c>
      <c r="AC65" s="111">
        <v>53829.695680000012</v>
      </c>
      <c r="AD65" s="111">
        <v>6228.2476900000001</v>
      </c>
      <c r="AE65" s="111">
        <v>9134.6027599999998</v>
      </c>
      <c r="AF65" s="181">
        <v>1125</v>
      </c>
      <c r="AG65" s="185"/>
    </row>
    <row r="66" spans="1:36" ht="17.25" customHeight="1" thickBot="1" x14ac:dyDescent="0.3">
      <c r="A66" s="107">
        <v>42903</v>
      </c>
      <c r="B66" s="108">
        <v>69003.373640000005</v>
      </c>
      <c r="C66" s="108">
        <v>2345.9560800000004</v>
      </c>
      <c r="D66" s="108">
        <v>26568.289200000003</v>
      </c>
      <c r="E66" s="108">
        <v>6044.8924900000002</v>
      </c>
      <c r="F66" s="108">
        <v>56695.77399999999</v>
      </c>
      <c r="G66" s="108">
        <v>4636.7918</v>
      </c>
      <c r="H66" s="108">
        <v>75411.016060000038</v>
      </c>
      <c r="I66" s="108">
        <v>10093.678299999998</v>
      </c>
      <c r="J66" s="108">
        <v>91581.423800000004</v>
      </c>
      <c r="K66" s="108">
        <v>5104.7235500000006</v>
      </c>
      <c r="L66" s="108">
        <v>24771.1836</v>
      </c>
      <c r="M66" s="108">
        <v>75.411000000000001</v>
      </c>
      <c r="N66" s="108">
        <v>4480.5240000000003</v>
      </c>
      <c r="O66" s="108">
        <v>181.95999999999998</v>
      </c>
      <c r="P66" s="109" t="s">
        <v>168</v>
      </c>
      <c r="Q66" s="108">
        <v>778.16444999999999</v>
      </c>
      <c r="R66" s="108">
        <v>49608</v>
      </c>
      <c r="S66" s="108">
        <v>17392.466950000002</v>
      </c>
      <c r="T66" s="108">
        <v>87572.35834999998</v>
      </c>
      <c r="U66" s="108">
        <v>13465.594500000001</v>
      </c>
      <c r="V66" s="108">
        <v>6527.5101599999998</v>
      </c>
      <c r="W66" s="108">
        <v>1516.8</v>
      </c>
      <c r="X66" s="108">
        <v>45089.817499999997</v>
      </c>
      <c r="Y66" s="108">
        <v>10146.78376</v>
      </c>
      <c r="Z66" s="108">
        <v>9966.5808399999987</v>
      </c>
      <c r="AA66" s="108">
        <v>22696</v>
      </c>
      <c r="AB66" s="108">
        <v>8322.9577399999998</v>
      </c>
      <c r="AC66" s="108">
        <v>86100.850650000008</v>
      </c>
      <c r="AD66" s="108">
        <v>4832.9813099999992</v>
      </c>
      <c r="AE66" s="108">
        <v>7496.423310000001</v>
      </c>
      <c r="AF66" s="182">
        <v>1992.5</v>
      </c>
      <c r="AG66" s="185"/>
      <c r="AH66" s="186"/>
      <c r="AI66" s="106"/>
      <c r="AJ66" s="106"/>
    </row>
    <row r="67" spans="1:36" ht="17.25" customHeight="1" x14ac:dyDescent="0.25">
      <c r="A67" s="123">
        <v>42933</v>
      </c>
      <c r="B67" s="111">
        <v>39351.397679999995</v>
      </c>
      <c r="C67" s="111">
        <v>919.34044999999992</v>
      </c>
      <c r="D67" s="111">
        <v>79243.593400000012</v>
      </c>
      <c r="E67" s="111">
        <v>4191.8755199999996</v>
      </c>
      <c r="F67" s="111">
        <v>30453.853179999998</v>
      </c>
      <c r="G67" s="111">
        <v>7414.9646000000002</v>
      </c>
      <c r="H67" s="111">
        <v>71955.59083999999</v>
      </c>
      <c r="I67" s="111">
        <v>6771.8930499999997</v>
      </c>
      <c r="J67" s="111">
        <v>83594.191199999987</v>
      </c>
      <c r="K67" s="111">
        <v>10317.16656</v>
      </c>
      <c r="L67" s="111">
        <v>25172.18075</v>
      </c>
      <c r="M67" s="111">
        <v>0</v>
      </c>
      <c r="N67" s="111">
        <v>3094.8440000000001</v>
      </c>
      <c r="O67" s="111">
        <v>142.655</v>
      </c>
      <c r="P67" s="112" t="s">
        <v>168</v>
      </c>
      <c r="Q67" s="111">
        <v>4146.4838699999991</v>
      </c>
      <c r="R67" s="111">
        <v>4821.6000000000004</v>
      </c>
      <c r="S67" s="111">
        <v>38396.243209999993</v>
      </c>
      <c r="T67" s="111">
        <v>76809.727079999997</v>
      </c>
      <c r="U67" s="111">
        <v>11908.875180000001</v>
      </c>
      <c r="V67" s="111">
        <v>6468.7285000000002</v>
      </c>
      <c r="W67" s="111">
        <v>3723.75</v>
      </c>
      <c r="X67" s="111">
        <v>26108.045140000002</v>
      </c>
      <c r="Y67" s="111">
        <v>0</v>
      </c>
      <c r="Z67" s="111">
        <v>1051.12806</v>
      </c>
      <c r="AA67" s="111">
        <v>14561.618060000001</v>
      </c>
      <c r="AB67" s="111">
        <v>24335.611600000004</v>
      </c>
      <c r="AC67" s="111">
        <v>78920.691380000004</v>
      </c>
      <c r="AD67" s="111">
        <v>5731.024199999998</v>
      </c>
      <c r="AE67" s="91">
        <v>4411.1232599999994</v>
      </c>
      <c r="AF67" s="180">
        <v>300</v>
      </c>
      <c r="AG67" s="185"/>
      <c r="AH67" s="186"/>
      <c r="AI67" s="106"/>
      <c r="AJ67" s="106"/>
    </row>
    <row r="68" spans="1:36" ht="17.25" customHeight="1" x14ac:dyDescent="0.25">
      <c r="A68" s="123">
        <v>42964</v>
      </c>
      <c r="B68" s="111">
        <v>3298.6179999999999</v>
      </c>
      <c r="C68" s="111">
        <v>637.59857999999997</v>
      </c>
      <c r="D68" s="111">
        <v>30538.440849999999</v>
      </c>
      <c r="E68" s="111">
        <v>159.51732000000001</v>
      </c>
      <c r="F68" s="111">
        <v>27108.573100000001</v>
      </c>
      <c r="G68" s="111">
        <v>2496.7219499999997</v>
      </c>
      <c r="H68" s="111">
        <v>25893.263400000003</v>
      </c>
      <c r="I68" s="111">
        <v>1830.6970000000001</v>
      </c>
      <c r="J68" s="111">
        <v>97185.627299999993</v>
      </c>
      <c r="K68" s="111">
        <v>1648.4848499999998</v>
      </c>
      <c r="L68" s="111">
        <v>17766.904499999997</v>
      </c>
      <c r="M68" s="111">
        <v>199.899</v>
      </c>
      <c r="N68" s="111">
        <v>5228.7599999999993</v>
      </c>
      <c r="O68" s="111">
        <v>60.693750000000001</v>
      </c>
      <c r="P68" s="112" t="s">
        <v>168</v>
      </c>
      <c r="Q68" s="111">
        <v>355.76319999999998</v>
      </c>
      <c r="R68" s="111">
        <v>9489</v>
      </c>
      <c r="S68" s="111">
        <v>19178.449700000001</v>
      </c>
      <c r="T68" s="111">
        <v>77126.375100000019</v>
      </c>
      <c r="U68" s="111">
        <v>5116.7530999999999</v>
      </c>
      <c r="V68" s="111">
        <v>3447.0969999999998</v>
      </c>
      <c r="W68" s="111">
        <v>17.190000000000001</v>
      </c>
      <c r="X68" s="111">
        <v>8489</v>
      </c>
      <c r="Y68" s="111">
        <v>0</v>
      </c>
      <c r="Z68" s="111">
        <v>3182.8539999999998</v>
      </c>
      <c r="AA68" s="111">
        <v>22204</v>
      </c>
      <c r="AB68" s="111">
        <v>1852.3328000000001</v>
      </c>
      <c r="AC68" s="111">
        <v>77586.886100000018</v>
      </c>
      <c r="AD68" s="111">
        <v>30.241000000000003</v>
      </c>
      <c r="AE68" s="111">
        <v>17.202000000000002</v>
      </c>
      <c r="AF68" s="181">
        <v>0</v>
      </c>
      <c r="AG68" s="185"/>
      <c r="AH68" s="186"/>
      <c r="AI68" s="106"/>
      <c r="AJ68" s="106"/>
    </row>
    <row r="69" spans="1:36" ht="17.25" customHeight="1" thickBot="1" x14ac:dyDescent="0.3">
      <c r="A69" s="122">
        <v>42996</v>
      </c>
      <c r="B69" s="108">
        <v>703.11149999999998</v>
      </c>
      <c r="C69" s="108">
        <v>103.46275</v>
      </c>
      <c r="D69" s="108">
        <v>75</v>
      </c>
      <c r="E69" s="108">
        <v>842.02481999999998</v>
      </c>
      <c r="F69" s="108">
        <v>41373.334080000001</v>
      </c>
      <c r="G69" s="108">
        <v>3368.1629999999996</v>
      </c>
      <c r="H69" s="108">
        <v>11167.891629999998</v>
      </c>
      <c r="I69" s="108">
        <v>1901.3123499999999</v>
      </c>
      <c r="J69" s="108">
        <v>15329.57424</v>
      </c>
      <c r="K69" s="108">
        <v>3498.20892</v>
      </c>
      <c r="L69" s="108">
        <v>0</v>
      </c>
      <c r="M69" s="108">
        <v>193.91400000000002</v>
      </c>
      <c r="N69" s="108">
        <v>4651.2</v>
      </c>
      <c r="O69" s="108">
        <v>236.3</v>
      </c>
      <c r="P69" s="109" t="s">
        <v>168</v>
      </c>
      <c r="Q69" s="108">
        <v>1360.64582</v>
      </c>
      <c r="R69" s="108">
        <v>27635</v>
      </c>
      <c r="S69" s="108">
        <v>3787.7253499999997</v>
      </c>
      <c r="T69" s="108">
        <v>11033.754010000001</v>
      </c>
      <c r="U69" s="108">
        <v>1109.6707299999998</v>
      </c>
      <c r="V69" s="108">
        <v>1169.3</v>
      </c>
      <c r="W69" s="108">
        <v>0</v>
      </c>
      <c r="X69" s="108">
        <v>23397.392240000001</v>
      </c>
      <c r="Y69" s="108">
        <v>43916</v>
      </c>
      <c r="Z69" s="108">
        <v>82466.104500000001</v>
      </c>
      <c r="AA69" s="108">
        <v>35400.894560000001</v>
      </c>
      <c r="AB69" s="108">
        <v>80.428449999999998</v>
      </c>
      <c r="AC69" s="108">
        <v>8804.9499500000002</v>
      </c>
      <c r="AD69" s="108">
        <v>348.47230999999999</v>
      </c>
      <c r="AE69" s="108">
        <v>12.675599999999999</v>
      </c>
      <c r="AF69" s="182">
        <v>0</v>
      </c>
      <c r="AG69" s="185"/>
      <c r="AH69" s="186"/>
      <c r="AI69" s="106"/>
      <c r="AJ69" s="106"/>
    </row>
    <row r="70" spans="1:36" ht="17.25" customHeight="1" x14ac:dyDescent="0.25">
      <c r="A70" s="121">
        <v>43025</v>
      </c>
      <c r="B70" s="114">
        <v>205299.24100000001</v>
      </c>
      <c r="C70" s="114">
        <v>353.24250000000001</v>
      </c>
      <c r="D70" s="114">
        <v>50</v>
      </c>
      <c r="E70" s="114">
        <v>2913.0251600000001</v>
      </c>
      <c r="F70" s="114">
        <v>449744.86807999999</v>
      </c>
      <c r="G70" s="114">
        <v>2229.8874999999998</v>
      </c>
      <c r="H70" s="114">
        <v>32663.981899999999</v>
      </c>
      <c r="I70" s="114">
        <v>4801.173600000001</v>
      </c>
      <c r="J70" s="114">
        <v>79363.762200000026</v>
      </c>
      <c r="K70" s="114">
        <v>6984.8457700000008</v>
      </c>
      <c r="L70" s="114">
        <v>8034.25468</v>
      </c>
      <c r="M70" s="114">
        <v>260.04825</v>
      </c>
      <c r="N70" s="114">
        <v>18648.059599999997</v>
      </c>
      <c r="O70" s="114">
        <v>619.65750000000003</v>
      </c>
      <c r="P70" s="115" t="s">
        <v>168</v>
      </c>
      <c r="Q70" s="114">
        <v>1792.4651199999998</v>
      </c>
      <c r="R70" s="114">
        <v>129452.485</v>
      </c>
      <c r="S70" s="114">
        <v>52451.278960000018</v>
      </c>
      <c r="T70" s="114">
        <v>110321.55324000004</v>
      </c>
      <c r="U70" s="114">
        <v>4876.4503599999998</v>
      </c>
      <c r="V70" s="114">
        <v>7846.6957999999995</v>
      </c>
      <c r="W70" s="114">
        <v>42516.908200000005</v>
      </c>
      <c r="X70" s="114">
        <v>107344.37819</v>
      </c>
      <c r="Y70" s="114">
        <v>106804</v>
      </c>
      <c r="Z70" s="114">
        <v>172986.84899999999</v>
      </c>
      <c r="AA70" s="114">
        <v>177113.89455999999</v>
      </c>
      <c r="AB70" s="114">
        <v>1246.3989000000001</v>
      </c>
      <c r="AC70" s="114">
        <v>92136.046480000019</v>
      </c>
      <c r="AD70" s="114">
        <v>2233.9746199999995</v>
      </c>
      <c r="AE70" s="91">
        <v>34.744600000000005</v>
      </c>
      <c r="AF70" s="180">
        <v>0</v>
      </c>
      <c r="AG70" s="185"/>
      <c r="AH70" s="186"/>
      <c r="AI70" s="106"/>
    </row>
    <row r="71" spans="1:36" ht="17.25" customHeight="1" x14ac:dyDescent="0.25">
      <c r="A71" s="120">
        <v>43056</v>
      </c>
      <c r="B71" s="111">
        <v>54.961600000000018</v>
      </c>
      <c r="C71" s="111">
        <v>115.61275000000001</v>
      </c>
      <c r="D71" s="111">
        <v>25</v>
      </c>
      <c r="E71" s="111">
        <v>3118.93271</v>
      </c>
      <c r="F71" s="111">
        <v>541083.85</v>
      </c>
      <c r="G71" s="111">
        <v>4738.7875599999998</v>
      </c>
      <c r="H71" s="111">
        <v>30456.459649999997</v>
      </c>
      <c r="I71" s="111">
        <v>1174.95982</v>
      </c>
      <c r="J71" s="111">
        <v>60534.281940000001</v>
      </c>
      <c r="K71" s="111">
        <v>4709.8768</v>
      </c>
      <c r="L71" s="111">
        <v>19945.444459999999</v>
      </c>
      <c r="M71" s="111">
        <v>637.65480000000002</v>
      </c>
      <c r="N71" s="111">
        <v>12366.4889</v>
      </c>
      <c r="O71" s="111">
        <v>516.57000000000005</v>
      </c>
      <c r="P71" s="112" t="s">
        <v>168</v>
      </c>
      <c r="Q71" s="111">
        <v>1103.1380799999999</v>
      </c>
      <c r="R71" s="111">
        <v>163393</v>
      </c>
      <c r="S71" s="111">
        <v>5903.6039899999996</v>
      </c>
      <c r="T71" s="111">
        <v>48271.570629999995</v>
      </c>
      <c r="U71" s="111">
        <v>4379.5582600000007</v>
      </c>
      <c r="V71" s="111">
        <v>5528.9175000000005</v>
      </c>
      <c r="W71" s="111">
        <v>65449.919999999998</v>
      </c>
      <c r="X71" s="111">
        <v>112573.5</v>
      </c>
      <c r="Y71" s="111">
        <v>169332</v>
      </c>
      <c r="Z71" s="111">
        <v>230478</v>
      </c>
      <c r="AA71" s="111">
        <v>224892.66099999999</v>
      </c>
      <c r="AB71" s="111">
        <v>1040.6840999999999</v>
      </c>
      <c r="AC71" s="111">
        <v>46441.429790000009</v>
      </c>
      <c r="AD71" s="111">
        <v>358.93779999999998</v>
      </c>
      <c r="AE71" s="111">
        <v>200.78559999999999</v>
      </c>
      <c r="AF71" s="181">
        <v>0</v>
      </c>
      <c r="AG71" s="185"/>
      <c r="AH71" s="186"/>
      <c r="AI71" s="106"/>
    </row>
    <row r="72" spans="1:36" ht="17.25" customHeight="1" thickBot="1" x14ac:dyDescent="0.3">
      <c r="A72" s="119">
        <v>43086</v>
      </c>
      <c r="B72" s="108">
        <v>1025.2542000000001</v>
      </c>
      <c r="C72" s="108">
        <v>22176.351979999996</v>
      </c>
      <c r="D72" s="108">
        <v>0</v>
      </c>
      <c r="E72" s="108">
        <v>2502.7433600000004</v>
      </c>
      <c r="F72" s="108">
        <v>472773.99215000001</v>
      </c>
      <c r="G72" s="108">
        <v>10661.858039999999</v>
      </c>
      <c r="H72" s="108">
        <v>10689.3778</v>
      </c>
      <c r="I72" s="108">
        <v>3076.8866800000001</v>
      </c>
      <c r="J72" s="108">
        <v>71973.572120000012</v>
      </c>
      <c r="K72" s="108">
        <v>2338.8200600000005</v>
      </c>
      <c r="L72" s="108" t="s">
        <v>174</v>
      </c>
      <c r="M72" s="108">
        <v>0</v>
      </c>
      <c r="N72" s="108">
        <v>24637.636709999999</v>
      </c>
      <c r="O72" s="108">
        <v>148.69999999999999</v>
      </c>
      <c r="P72" s="109" t="s">
        <v>168</v>
      </c>
      <c r="Q72" s="108">
        <v>436.40440000000001</v>
      </c>
      <c r="R72" s="108">
        <v>159642</v>
      </c>
      <c r="S72" s="108">
        <v>5680.2000800000005</v>
      </c>
      <c r="T72" s="108">
        <v>39537.59145</v>
      </c>
      <c r="U72" s="108">
        <v>8511.5566999999992</v>
      </c>
      <c r="V72" s="108">
        <v>10762.2075</v>
      </c>
      <c r="W72" s="108">
        <v>52297.999999999993</v>
      </c>
      <c r="X72" s="108">
        <v>86784.5</v>
      </c>
      <c r="Y72" s="108">
        <v>182868</v>
      </c>
      <c r="Z72" s="108">
        <v>171414.66821999999</v>
      </c>
      <c r="AA72" s="108">
        <v>197374</v>
      </c>
      <c r="AB72" s="108">
        <v>2733.8825000000002</v>
      </c>
      <c r="AC72" s="108">
        <v>85726.218649999995</v>
      </c>
      <c r="AD72" s="108">
        <v>6173.9646599999996</v>
      </c>
      <c r="AE72" s="108">
        <v>284.72461999999996</v>
      </c>
      <c r="AF72" s="182">
        <v>0</v>
      </c>
      <c r="AG72" s="185"/>
      <c r="AH72" s="186"/>
      <c r="AI72" s="106"/>
    </row>
    <row r="73" spans="1:36" ht="17.25" customHeight="1" x14ac:dyDescent="0.25">
      <c r="A73" s="118">
        <v>43118</v>
      </c>
      <c r="B73" s="114">
        <v>4481.7387399999998</v>
      </c>
      <c r="C73" s="114">
        <v>569.57590000000005</v>
      </c>
      <c r="D73" s="114">
        <v>1612.296</v>
      </c>
      <c r="E73" s="114">
        <v>3371.9772899999998</v>
      </c>
      <c r="F73" s="114">
        <v>438040.67968</v>
      </c>
      <c r="G73" s="114">
        <v>5986.7633999999998</v>
      </c>
      <c r="H73" s="114">
        <v>43955.296180000005</v>
      </c>
      <c r="I73" s="114">
        <v>5233.8929999999991</v>
      </c>
      <c r="J73" s="114">
        <v>28440.048799999997</v>
      </c>
      <c r="K73" s="114">
        <v>5438.1084999999975</v>
      </c>
      <c r="L73" s="114">
        <v>15085.154159999998</v>
      </c>
      <c r="M73" s="114">
        <v>152.61750000000029</v>
      </c>
      <c r="N73" s="114">
        <v>2712.2654599999996</v>
      </c>
      <c r="O73" s="114">
        <v>383.75200000000007</v>
      </c>
      <c r="P73" s="115" t="s">
        <v>168</v>
      </c>
      <c r="Q73" s="114">
        <v>331.68299999999999</v>
      </c>
      <c r="R73" s="114">
        <v>147833.20000000001</v>
      </c>
      <c r="S73" s="114">
        <v>17613.31106</v>
      </c>
      <c r="T73" s="114">
        <v>23504.85052</v>
      </c>
      <c r="U73" s="114">
        <v>4688.9642000000013</v>
      </c>
      <c r="V73" s="114">
        <v>9457.0639599999995</v>
      </c>
      <c r="W73" s="114">
        <v>47381.039999999994</v>
      </c>
      <c r="X73" s="114">
        <v>87421.847999999998</v>
      </c>
      <c r="Y73" s="114">
        <v>76568</v>
      </c>
      <c r="Z73" s="114">
        <v>154572.27565999998</v>
      </c>
      <c r="AA73" s="114">
        <v>132080.30556000001</v>
      </c>
      <c r="AB73" s="114">
        <v>4784.3590999999997</v>
      </c>
      <c r="AC73" s="114">
        <v>23430.289880000004</v>
      </c>
      <c r="AD73" s="114">
        <v>1145.28865</v>
      </c>
      <c r="AE73" s="91">
        <v>835.20607999999993</v>
      </c>
      <c r="AF73" s="180">
        <v>0</v>
      </c>
      <c r="AG73" s="185"/>
      <c r="AH73" s="186"/>
      <c r="AI73" s="106"/>
    </row>
    <row r="74" spans="1:36" ht="17.25" customHeight="1" x14ac:dyDescent="0.25">
      <c r="A74" s="117">
        <v>43149</v>
      </c>
      <c r="B74" s="111">
        <v>59476.542440000005</v>
      </c>
      <c r="C74" s="111">
        <v>17182.99468</v>
      </c>
      <c r="D74" s="111">
        <v>1706.5</v>
      </c>
      <c r="E74" s="111">
        <v>15489.12057000001</v>
      </c>
      <c r="F74" s="111">
        <v>454189.59805000003</v>
      </c>
      <c r="G74" s="111">
        <v>7376.0789000000004</v>
      </c>
      <c r="H74" s="111">
        <v>75088.024400000009</v>
      </c>
      <c r="I74" s="111">
        <v>12662.5996</v>
      </c>
      <c r="J74" s="111">
        <v>235326.89414999995</v>
      </c>
      <c r="K74" s="111">
        <v>11059.70206</v>
      </c>
      <c r="L74" s="111">
        <v>17435.471700000002</v>
      </c>
      <c r="M74" s="111">
        <v>0</v>
      </c>
      <c r="N74" s="111">
        <v>5360.3472500000007</v>
      </c>
      <c r="O74" s="111">
        <v>989.97199999999998</v>
      </c>
      <c r="P74" s="112" t="s">
        <v>168</v>
      </c>
      <c r="Q74" s="111">
        <v>1064.7950000000001</v>
      </c>
      <c r="R74" s="111">
        <v>136463</v>
      </c>
      <c r="S74" s="111">
        <v>55992.074749999985</v>
      </c>
      <c r="T74" s="111">
        <v>150774.86235000001</v>
      </c>
      <c r="U74" s="111">
        <v>9358.5942500000001</v>
      </c>
      <c r="V74" s="111">
        <v>15931.366910000001</v>
      </c>
      <c r="W74" s="111">
        <v>43284.39</v>
      </c>
      <c r="X74" s="111">
        <v>87064.498500000002</v>
      </c>
      <c r="Y74" s="111">
        <v>142047.04876000001</v>
      </c>
      <c r="Z74" s="111">
        <v>141777.81479</v>
      </c>
      <c r="AA74" s="111">
        <v>129293.75</v>
      </c>
      <c r="AB74" s="111">
        <v>5280.9278400000003</v>
      </c>
      <c r="AC74" s="111">
        <v>132681.32605000003</v>
      </c>
      <c r="AD74" s="111">
        <v>4480.133960000001</v>
      </c>
      <c r="AE74" s="111">
        <v>6738.0530599999993</v>
      </c>
      <c r="AF74" s="181">
        <v>968.5</v>
      </c>
      <c r="AG74" s="185"/>
      <c r="AH74" s="186"/>
      <c r="AI74" s="106"/>
    </row>
    <row r="75" spans="1:36" ht="17.25" customHeight="1" thickBot="1" x14ac:dyDescent="0.3">
      <c r="A75" s="116">
        <v>43177</v>
      </c>
      <c r="B75" s="108">
        <v>50579.285919999995</v>
      </c>
      <c r="C75" s="108">
        <v>24310.732099999997</v>
      </c>
      <c r="D75" s="108">
        <v>15011.539799999999</v>
      </c>
      <c r="E75" s="108">
        <v>4787.32485</v>
      </c>
      <c r="F75" s="108">
        <v>287066.5148</v>
      </c>
      <c r="G75" s="108">
        <v>8946.1154000000006</v>
      </c>
      <c r="H75" s="108">
        <v>96401.690199999983</v>
      </c>
      <c r="I75" s="108">
        <v>10478.525700000002</v>
      </c>
      <c r="J75" s="108">
        <v>214234.9632</v>
      </c>
      <c r="K75" s="108">
        <v>14487.27303</v>
      </c>
      <c r="L75" s="108">
        <v>15624.747529999999</v>
      </c>
      <c r="M75" s="108">
        <v>302.24250000000001</v>
      </c>
      <c r="N75" s="108">
        <v>2261.6408000000001</v>
      </c>
      <c r="O75" s="108">
        <v>1366.9275</v>
      </c>
      <c r="P75" s="109" t="s">
        <v>168</v>
      </c>
      <c r="Q75" s="108">
        <v>1910.5408600000001</v>
      </c>
      <c r="R75" s="108">
        <v>98032</v>
      </c>
      <c r="S75" s="108">
        <v>42042.331479999993</v>
      </c>
      <c r="T75" s="108">
        <v>157585.63090000005</v>
      </c>
      <c r="U75" s="108">
        <v>26749.518189999999</v>
      </c>
      <c r="V75" s="108">
        <v>13870.726360000004</v>
      </c>
      <c r="W75" s="108">
        <v>12608.4</v>
      </c>
      <c r="X75" s="108">
        <v>70734.50056</v>
      </c>
      <c r="Y75" s="108">
        <v>90891.479659999997</v>
      </c>
      <c r="Z75" s="108">
        <v>78656.542000000001</v>
      </c>
      <c r="AA75" s="108">
        <v>207857.04149999999</v>
      </c>
      <c r="AB75" s="108">
        <v>5716.9115600000005</v>
      </c>
      <c r="AC75" s="108">
        <v>167617.75590000002</v>
      </c>
      <c r="AD75" s="108">
        <v>9733.2693100000015</v>
      </c>
      <c r="AE75" s="108">
        <v>4754.2614999999996</v>
      </c>
      <c r="AF75" s="182">
        <v>1772.3</v>
      </c>
      <c r="AG75" s="185"/>
      <c r="AH75" s="186"/>
      <c r="AI75" s="106"/>
    </row>
    <row r="76" spans="1:36" ht="17.25" customHeight="1" x14ac:dyDescent="0.25">
      <c r="A76" s="113">
        <v>43208</v>
      </c>
      <c r="B76" s="114">
        <v>4993.6290999999992</v>
      </c>
      <c r="C76" s="114">
        <v>929.26144999999997</v>
      </c>
      <c r="D76" s="114">
        <v>16733.965500000002</v>
      </c>
      <c r="E76" s="114">
        <v>7169.968859999999</v>
      </c>
      <c r="F76" s="114">
        <v>349139.52648</v>
      </c>
      <c r="G76" s="114">
        <v>7053.1778000000004</v>
      </c>
      <c r="H76" s="114">
        <v>68719.636050000001</v>
      </c>
      <c r="I76" s="114">
        <v>6611.1976500000001</v>
      </c>
      <c r="J76" s="114">
        <v>133371.40459999998</v>
      </c>
      <c r="K76" s="114">
        <v>6317.7964000000002</v>
      </c>
      <c r="L76" s="114">
        <v>7728.0239099999999</v>
      </c>
      <c r="M76" s="114">
        <v>-1318.7637</v>
      </c>
      <c r="N76" s="114">
        <v>16640.326160000001</v>
      </c>
      <c r="O76" s="114">
        <v>523.02</v>
      </c>
      <c r="P76" s="115" t="s">
        <v>168</v>
      </c>
      <c r="Q76" s="114">
        <v>2750.5373599999998</v>
      </c>
      <c r="R76" s="114">
        <v>81341.600000000006</v>
      </c>
      <c r="S76" s="114">
        <v>40978.835809999997</v>
      </c>
      <c r="T76" s="114">
        <v>164017.96823</v>
      </c>
      <c r="U76" s="114">
        <v>4407.7156999999988</v>
      </c>
      <c r="V76" s="114">
        <v>8176.4472000000005</v>
      </c>
      <c r="W76" s="114">
        <v>14163.682000000003</v>
      </c>
      <c r="X76" s="114">
        <v>45809.0795</v>
      </c>
      <c r="Y76" s="114">
        <v>136984</v>
      </c>
      <c r="Z76" s="114">
        <v>126426.32206000001</v>
      </c>
      <c r="AA76" s="114">
        <v>264533.59856000001</v>
      </c>
      <c r="AB76" s="114">
        <v>9171.1072399999975</v>
      </c>
      <c r="AC76" s="114">
        <v>164001.42403000002</v>
      </c>
      <c r="AD76" s="114">
        <v>1372.4259</v>
      </c>
      <c r="AE76" s="91">
        <v>383.72025999999994</v>
      </c>
      <c r="AF76" s="180">
        <v>0</v>
      </c>
      <c r="AG76" s="185"/>
      <c r="AH76" s="186"/>
      <c r="AI76" s="106"/>
    </row>
    <row r="77" spans="1:36" ht="17.25" customHeight="1" x14ac:dyDescent="0.25">
      <c r="A77" s="110">
        <v>43238</v>
      </c>
      <c r="B77" s="111">
        <v>692.71910000000003</v>
      </c>
      <c r="C77" s="111">
        <v>7510.0019400000019</v>
      </c>
      <c r="D77" s="111">
        <v>34398.374800000005</v>
      </c>
      <c r="E77" s="111">
        <v>6158.0225400000008</v>
      </c>
      <c r="F77" s="111">
        <v>212200.29916</v>
      </c>
      <c r="G77" s="111">
        <v>10452.4018</v>
      </c>
      <c r="H77" s="111">
        <v>86488.463219999991</v>
      </c>
      <c r="I77" s="111">
        <v>12608.29413</v>
      </c>
      <c r="J77" s="111">
        <v>169728.16179999994</v>
      </c>
      <c r="K77" s="111">
        <v>5737.6012000000001</v>
      </c>
      <c r="L77" s="111">
        <v>518.77530000000002</v>
      </c>
      <c r="M77" s="111">
        <v>449.625</v>
      </c>
      <c r="N77" s="111">
        <v>8473.5522000000001</v>
      </c>
      <c r="O77" s="111">
        <v>858.7650000000001</v>
      </c>
      <c r="P77" s="112" t="s">
        <v>168</v>
      </c>
      <c r="Q77" s="111">
        <v>2447.0412200000001</v>
      </c>
      <c r="R77" s="111">
        <v>46941</v>
      </c>
      <c r="S77" s="111">
        <v>30238.926619999998</v>
      </c>
      <c r="T77" s="111">
        <v>118464.65004000002</v>
      </c>
      <c r="U77" s="111">
        <v>11975.13206</v>
      </c>
      <c r="V77" s="111">
        <v>12389.371810000001</v>
      </c>
      <c r="W77" s="111">
        <v>12671.600000000002</v>
      </c>
      <c r="X77" s="111">
        <v>20514.157080000001</v>
      </c>
      <c r="Y77" s="111">
        <v>70782.479659999997</v>
      </c>
      <c r="Z77" s="111">
        <v>106400.34455000001</v>
      </c>
      <c r="AA77" s="111">
        <v>144763.09992000001</v>
      </c>
      <c r="AB77" s="111">
        <v>1100.34629</v>
      </c>
      <c r="AC77" s="111">
        <v>71649.836660000001</v>
      </c>
      <c r="AD77" s="111">
        <v>6514.4418800000003</v>
      </c>
      <c r="AE77" s="111">
        <v>205.27137000000002</v>
      </c>
      <c r="AF77" s="181">
        <v>0</v>
      </c>
      <c r="AG77" s="185"/>
      <c r="AH77" s="186"/>
      <c r="AI77" s="106"/>
    </row>
    <row r="78" spans="1:36" ht="17.25" customHeight="1" thickBot="1" x14ac:dyDescent="0.3">
      <c r="A78" s="107">
        <v>43269</v>
      </c>
      <c r="B78" s="108">
        <v>31538.634600000001</v>
      </c>
      <c r="C78" s="108">
        <v>803.27015999999992</v>
      </c>
      <c r="D78" s="108">
        <v>70828.963099999994</v>
      </c>
      <c r="E78" s="108">
        <v>4991.8966499999997</v>
      </c>
      <c r="F78" s="108">
        <v>31883.480599999995</v>
      </c>
      <c r="G78" s="108">
        <v>2510.2282</v>
      </c>
      <c r="H78" s="108">
        <v>58026.80717</v>
      </c>
      <c r="I78" s="108">
        <v>6497.3402499999993</v>
      </c>
      <c r="J78" s="108">
        <v>100281.42444</v>
      </c>
      <c r="K78" s="108">
        <v>12279.76686</v>
      </c>
      <c r="L78" s="108">
        <v>10820.55</v>
      </c>
      <c r="M78" s="108">
        <v>63.441000000000003</v>
      </c>
      <c r="N78" s="108">
        <v>6916.8701000000001</v>
      </c>
      <c r="O78" s="108">
        <v>1038.4574999999998</v>
      </c>
      <c r="P78" s="109" t="s">
        <v>168</v>
      </c>
      <c r="Q78" s="108">
        <v>2017.0038000000002</v>
      </c>
      <c r="R78" s="108">
        <v>7401</v>
      </c>
      <c r="S78" s="108">
        <v>31523.340939999998</v>
      </c>
      <c r="T78" s="108">
        <v>75408.765339999998</v>
      </c>
      <c r="U78" s="108">
        <v>5361.3087000000005</v>
      </c>
      <c r="V78" s="108">
        <v>5542.9663</v>
      </c>
      <c r="W78" s="108">
        <v>1516.8</v>
      </c>
      <c r="X78" s="108">
        <v>21508.9944</v>
      </c>
      <c r="Y78" s="108">
        <v>0</v>
      </c>
      <c r="Z78" s="108">
        <v>8430.967560000001</v>
      </c>
      <c r="AA78" s="108">
        <v>16640</v>
      </c>
      <c r="AB78" s="108">
        <v>10440.412070000002</v>
      </c>
      <c r="AC78" s="108">
        <v>66618.392219999994</v>
      </c>
      <c r="AD78" s="108">
        <v>4803.2858200000001</v>
      </c>
      <c r="AE78" s="108">
        <v>644.01135999999997</v>
      </c>
      <c r="AF78" s="182">
        <v>0</v>
      </c>
      <c r="AG78" s="185"/>
      <c r="AH78" s="186"/>
      <c r="AI78" s="106"/>
    </row>
    <row r="79" spans="1:36" ht="17.25" customHeight="1" x14ac:dyDescent="0.25">
      <c r="A79" s="123">
        <v>43299</v>
      </c>
      <c r="B79" s="111">
        <v>8736.5953000000009</v>
      </c>
      <c r="C79" s="111">
        <v>745.13857999999993</v>
      </c>
      <c r="D79" s="111">
        <v>110898.4688</v>
      </c>
      <c r="E79" s="111">
        <v>1500.4429599999999</v>
      </c>
      <c r="F79" s="111">
        <v>15230.0476</v>
      </c>
      <c r="G79" s="111">
        <v>2791.5537999999997</v>
      </c>
      <c r="H79" s="111">
        <v>52585.131119999984</v>
      </c>
      <c r="I79" s="111">
        <v>3044.6792999999998</v>
      </c>
      <c r="J79" s="111">
        <v>93804.399600000004</v>
      </c>
      <c r="K79" s="111">
        <v>8353.3395999999993</v>
      </c>
      <c r="L79" s="111">
        <v>0</v>
      </c>
      <c r="M79" s="111">
        <v>511.4205</v>
      </c>
      <c r="N79" s="111">
        <v>5053.7439999999997</v>
      </c>
      <c r="O79" s="111">
        <v>1565.58</v>
      </c>
      <c r="P79" s="112" t="s">
        <v>168</v>
      </c>
      <c r="Q79" s="111">
        <v>1563.626</v>
      </c>
      <c r="R79" s="111">
        <v>12554.455399999999</v>
      </c>
      <c r="S79" s="111">
        <v>19467.366300000002</v>
      </c>
      <c r="T79" s="111">
        <v>69078.580900000001</v>
      </c>
      <c r="U79" s="111">
        <v>7550.3179500000015</v>
      </c>
      <c r="V79" s="111">
        <v>3231.848</v>
      </c>
      <c r="W79" s="111">
        <v>6730.8</v>
      </c>
      <c r="X79" s="111">
        <v>7744.6157600000006</v>
      </c>
      <c r="Y79" s="111">
        <v>0</v>
      </c>
      <c r="Z79" s="111">
        <v>5299.3339999999998</v>
      </c>
      <c r="AA79" s="111">
        <v>23400.839909999999</v>
      </c>
      <c r="AB79" s="111">
        <v>24913.60515000001</v>
      </c>
      <c r="AC79" s="111">
        <v>115023.43040000001</v>
      </c>
      <c r="AD79" s="111">
        <v>3098.3985500000003</v>
      </c>
      <c r="AE79" s="91">
        <v>1145.9644000000001</v>
      </c>
      <c r="AF79" s="180">
        <v>0</v>
      </c>
      <c r="AG79" s="185"/>
      <c r="AH79" s="186"/>
      <c r="AI79" s="159"/>
    </row>
    <row r="80" spans="1:36" ht="17.25" customHeight="1" x14ac:dyDescent="0.25">
      <c r="A80" s="123">
        <v>43330</v>
      </c>
      <c r="B80" s="111">
        <v>6563.2491</v>
      </c>
      <c r="C80" s="111">
        <v>245.85000000000002</v>
      </c>
      <c r="D80" s="111">
        <v>90</v>
      </c>
      <c r="E80" s="111">
        <v>636.37407000000007</v>
      </c>
      <c r="F80" s="111">
        <v>4758</v>
      </c>
      <c r="G80" s="111">
        <v>383.43</v>
      </c>
      <c r="H80" s="111">
        <v>23882.943719999999</v>
      </c>
      <c r="I80" s="111">
        <v>2260.7019999999998</v>
      </c>
      <c r="J80" s="111">
        <v>122061.54115999998</v>
      </c>
      <c r="K80" s="111">
        <v>1883.8816999999995</v>
      </c>
      <c r="L80" s="111">
        <v>38.552999999999997</v>
      </c>
      <c r="M80" s="111">
        <v>0</v>
      </c>
      <c r="N80" s="111">
        <v>8340.8691999999992</v>
      </c>
      <c r="O80" s="111">
        <v>259.62</v>
      </c>
      <c r="P80" s="111">
        <v>13750</v>
      </c>
      <c r="Q80" s="111">
        <v>263.81790000000001</v>
      </c>
      <c r="R80" s="111">
        <v>30506.2</v>
      </c>
      <c r="S80" s="111">
        <v>18688.764999999999</v>
      </c>
      <c r="T80" s="111">
        <v>55325.565119999999</v>
      </c>
      <c r="U80" s="111">
        <v>3308.2661000000003</v>
      </c>
      <c r="V80" s="111">
        <v>1108.1917000000001</v>
      </c>
      <c r="W80" s="111">
        <v>0</v>
      </c>
      <c r="X80" s="111">
        <v>6396</v>
      </c>
      <c r="Y80" s="111">
        <v>0</v>
      </c>
      <c r="Z80" s="111">
        <v>6479.7488599999997</v>
      </c>
      <c r="AA80" s="111">
        <v>63831.985000000001</v>
      </c>
      <c r="AB80" s="111">
        <v>1018.9805</v>
      </c>
      <c r="AC80" s="111">
        <v>75498.252660000013</v>
      </c>
      <c r="AD80" s="111">
        <v>1865.0622500000002</v>
      </c>
      <c r="AE80" s="111">
        <v>417.14006000000001</v>
      </c>
      <c r="AF80" s="181">
        <v>0</v>
      </c>
      <c r="AG80" s="185"/>
      <c r="AH80" s="186"/>
      <c r="AI80" s="106"/>
    </row>
    <row r="81" spans="1:35" ht="17.25" customHeight="1" thickBot="1" x14ac:dyDescent="0.3">
      <c r="A81" s="122">
        <v>43361</v>
      </c>
      <c r="B81" s="108">
        <v>12050.906000000001</v>
      </c>
      <c r="C81" s="108">
        <v>186.5985</v>
      </c>
      <c r="D81" s="108">
        <v>28</v>
      </c>
      <c r="E81" s="108">
        <v>343.86760000000004</v>
      </c>
      <c r="F81" s="108">
        <v>85676.59</v>
      </c>
      <c r="G81" s="108">
        <v>332</v>
      </c>
      <c r="H81" s="108">
        <v>31813.267800000009</v>
      </c>
      <c r="I81" s="108">
        <v>3254.1600000000003</v>
      </c>
      <c r="J81" s="108">
        <v>92430.914999999979</v>
      </c>
      <c r="K81" s="108">
        <v>6866.787049999999</v>
      </c>
      <c r="L81" s="108">
        <v>334.12139999999999</v>
      </c>
      <c r="M81" s="108">
        <v>150.822</v>
      </c>
      <c r="N81" s="108">
        <v>1468.8</v>
      </c>
      <c r="O81" s="108">
        <v>1895.7925</v>
      </c>
      <c r="P81" s="109" t="s">
        <v>168</v>
      </c>
      <c r="Q81" s="108">
        <v>881.99545000000001</v>
      </c>
      <c r="R81" s="108">
        <v>37249</v>
      </c>
      <c r="S81" s="108">
        <v>10476.644649999998</v>
      </c>
      <c r="T81" s="108">
        <v>68765.122250000015</v>
      </c>
      <c r="U81" s="108">
        <v>5463.9422200000008</v>
      </c>
      <c r="V81" s="108">
        <v>3009.348</v>
      </c>
      <c r="W81" s="108">
        <v>3779.6409999999996</v>
      </c>
      <c r="X81" s="108">
        <v>37465.165399999998</v>
      </c>
      <c r="Y81" s="108">
        <v>50000</v>
      </c>
      <c r="Z81" s="108">
        <v>92195.400529999999</v>
      </c>
      <c r="AA81" s="108">
        <v>44358.310799999999</v>
      </c>
      <c r="AB81" s="108">
        <v>218.1275</v>
      </c>
      <c r="AC81" s="108">
        <v>83278.182550000012</v>
      </c>
      <c r="AD81" s="108">
        <v>608.32175999999993</v>
      </c>
      <c r="AE81" s="108">
        <v>56.153300000000002</v>
      </c>
      <c r="AF81" s="182">
        <v>0</v>
      </c>
      <c r="AG81" s="185"/>
      <c r="AH81" s="186"/>
      <c r="AI81" s="106"/>
    </row>
    <row r="82" spans="1:35" ht="17.25" customHeight="1" x14ac:dyDescent="0.25">
      <c r="A82" s="121">
        <v>43391</v>
      </c>
      <c r="B82" s="114">
        <v>482.44600000000003</v>
      </c>
      <c r="C82" s="114">
        <v>244.76400000000001</v>
      </c>
      <c r="D82" s="114">
        <v>50</v>
      </c>
      <c r="E82" s="114">
        <v>3008.0086500000002</v>
      </c>
      <c r="F82" s="114">
        <v>485105.23800000001</v>
      </c>
      <c r="G82" s="114">
        <v>5948.24</v>
      </c>
      <c r="H82" s="114">
        <v>26366.281060000001</v>
      </c>
      <c r="I82" s="114">
        <v>11922.386349999999</v>
      </c>
      <c r="J82" s="114">
        <v>139051.25271999996</v>
      </c>
      <c r="K82" s="114">
        <v>980.24610999999993</v>
      </c>
      <c r="L82" s="114">
        <v>5427.7491600000003</v>
      </c>
      <c r="M82" s="114">
        <v>75.411000000000001</v>
      </c>
      <c r="N82" s="114">
        <v>23218.371199999998</v>
      </c>
      <c r="O82" s="114">
        <v>-26289.127500000002</v>
      </c>
      <c r="P82" s="115" t="s">
        <v>168</v>
      </c>
      <c r="Q82" s="114">
        <v>1691.1124499999999</v>
      </c>
      <c r="R82" s="114">
        <v>127193.4</v>
      </c>
      <c r="S82" s="114">
        <v>14829.3164</v>
      </c>
      <c r="T82" s="114">
        <v>107364.43316000002</v>
      </c>
      <c r="U82" s="114">
        <v>2772.0570199999997</v>
      </c>
      <c r="V82" s="114">
        <v>8629.4873999999982</v>
      </c>
      <c r="W82" s="114">
        <v>36557.435799999999</v>
      </c>
      <c r="X82" s="114">
        <v>102094.8918</v>
      </c>
      <c r="Y82" s="114">
        <v>81029.463400000008</v>
      </c>
      <c r="Z82" s="114">
        <v>209563.40906000001</v>
      </c>
      <c r="AA82" s="114">
        <v>163815</v>
      </c>
      <c r="AB82" s="114">
        <v>877.98524999999995</v>
      </c>
      <c r="AC82" s="114">
        <v>99591.502920000014</v>
      </c>
      <c r="AD82" s="114">
        <v>876.23590999999999</v>
      </c>
      <c r="AE82" s="91">
        <v>186.68456</v>
      </c>
      <c r="AF82" s="180">
        <v>0</v>
      </c>
      <c r="AG82" s="185"/>
      <c r="AH82" s="186"/>
      <c r="AI82" s="106"/>
    </row>
    <row r="83" spans="1:35" ht="17.25" customHeight="1" x14ac:dyDescent="0.25">
      <c r="A83" s="120">
        <v>43422</v>
      </c>
      <c r="B83" s="111">
        <v>0</v>
      </c>
      <c r="C83" s="111">
        <v>245.77959999999999</v>
      </c>
      <c r="D83" s="111">
        <v>0</v>
      </c>
      <c r="E83" s="111">
        <v>1914.4435000000001</v>
      </c>
      <c r="F83" s="111">
        <v>538928.58648000006</v>
      </c>
      <c r="G83" s="111">
        <v>4322.55</v>
      </c>
      <c r="H83" s="111">
        <v>20841.92568</v>
      </c>
      <c r="I83" s="111">
        <v>1518.4126000000001</v>
      </c>
      <c r="J83" s="111">
        <v>81963.464399999983</v>
      </c>
      <c r="K83" s="111">
        <v>3745.4215599999998</v>
      </c>
      <c r="L83" s="111">
        <v>6821.9852799999999</v>
      </c>
      <c r="M83" s="111">
        <v>-2349.1779999999999</v>
      </c>
      <c r="N83" s="111">
        <v>15064.171299999998</v>
      </c>
      <c r="O83" s="111">
        <v>1061.01</v>
      </c>
      <c r="P83" s="112" t="s">
        <v>168</v>
      </c>
      <c r="Q83" s="111">
        <v>1653.5467599999997</v>
      </c>
      <c r="R83" s="111">
        <v>161129</v>
      </c>
      <c r="S83" s="111">
        <v>12461.94392</v>
      </c>
      <c r="T83" s="111">
        <v>51094.174820000007</v>
      </c>
      <c r="U83" s="111">
        <v>3477.7017000000005</v>
      </c>
      <c r="V83" s="111">
        <v>4029.8312599999999</v>
      </c>
      <c r="W83" s="111">
        <v>46392.080999999998</v>
      </c>
      <c r="X83" s="111">
        <v>116267.57029999999</v>
      </c>
      <c r="Y83" s="111">
        <v>154430.47966000001</v>
      </c>
      <c r="Z83" s="111">
        <v>248872.75099999999</v>
      </c>
      <c r="AA83" s="111">
        <v>193388.89455999999</v>
      </c>
      <c r="AB83" s="111">
        <v>4495.31844</v>
      </c>
      <c r="AC83" s="111">
        <v>48641.347080000014</v>
      </c>
      <c r="AD83" s="111">
        <v>671.97146000000021</v>
      </c>
      <c r="AE83" s="111">
        <v>161.93170000000001</v>
      </c>
      <c r="AF83" s="181">
        <v>0</v>
      </c>
      <c r="AG83" s="185"/>
      <c r="AH83" s="186"/>
      <c r="AI83" s="106"/>
    </row>
    <row r="84" spans="1:35" ht="17.25" customHeight="1" thickBot="1" x14ac:dyDescent="0.3">
      <c r="A84" s="119">
        <v>43452</v>
      </c>
      <c r="B84" s="108">
        <v>155.03149999999999</v>
      </c>
      <c r="C84" s="108">
        <v>87.9</v>
      </c>
      <c r="D84" s="108">
        <v>1612.296</v>
      </c>
      <c r="E84" s="108">
        <v>2070.9830700000002</v>
      </c>
      <c r="F84" s="108">
        <v>446121.88800000004</v>
      </c>
      <c r="G84" s="108">
        <v>3208.3200999999999</v>
      </c>
      <c r="H84" s="108">
        <v>22688.82</v>
      </c>
      <c r="I84" s="108">
        <v>1696.52505</v>
      </c>
      <c r="J84" s="108">
        <v>32517.399999999994</v>
      </c>
      <c r="K84" s="108">
        <v>4747.2925000000005</v>
      </c>
      <c r="L84" s="108">
        <v>32083.59764</v>
      </c>
      <c r="M84" s="108">
        <v>150.2235</v>
      </c>
      <c r="N84" s="108">
        <v>2514.2835999999998</v>
      </c>
      <c r="O84" s="108">
        <v>1549.2199999999998</v>
      </c>
      <c r="P84" s="109" t="s">
        <v>168</v>
      </c>
      <c r="Q84" s="108">
        <v>3221.1585999999998</v>
      </c>
      <c r="R84" s="108">
        <v>123470</v>
      </c>
      <c r="S84" s="108">
        <v>4867.6000000000004</v>
      </c>
      <c r="T84" s="108">
        <v>25868.550000000003</v>
      </c>
      <c r="U84" s="108">
        <v>2391.1044499999998</v>
      </c>
      <c r="V84" s="108">
        <v>4986.5867099999996</v>
      </c>
      <c r="W84" s="108">
        <v>39092.956400000003</v>
      </c>
      <c r="X84" s="108">
        <v>94555.504000000001</v>
      </c>
      <c r="Y84" s="108">
        <v>103503.47966</v>
      </c>
      <c r="Z84" s="108">
        <v>169429.16279</v>
      </c>
      <c r="AA84" s="108">
        <v>138910.41099999999</v>
      </c>
      <c r="AB84" s="108">
        <v>2643.5391399999999</v>
      </c>
      <c r="AC84" s="108">
        <v>20902.800000000003</v>
      </c>
      <c r="AD84" s="108">
        <v>931.09550000000002</v>
      </c>
      <c r="AE84" s="108">
        <v>199.61011000000002</v>
      </c>
      <c r="AF84" s="182">
        <v>0</v>
      </c>
      <c r="AG84" s="185"/>
      <c r="AH84" s="186"/>
      <c r="AI84" s="106"/>
    </row>
    <row r="85" spans="1:35" ht="17.25" customHeight="1" x14ac:dyDescent="0.25">
      <c r="A85" s="118">
        <v>43484</v>
      </c>
      <c r="B85" s="114">
        <v>677.44900000000007</v>
      </c>
      <c r="C85" s="114">
        <v>2562.9584</v>
      </c>
      <c r="D85" s="114">
        <v>205</v>
      </c>
      <c r="E85" s="114">
        <v>6997.9599399999997</v>
      </c>
      <c r="F85" s="114">
        <v>496243.40107999998</v>
      </c>
      <c r="G85" s="114">
        <v>7148.4225000000006</v>
      </c>
      <c r="H85" s="114">
        <v>46921.452409999998</v>
      </c>
      <c r="I85" s="114">
        <v>5543.4952300000004</v>
      </c>
      <c r="J85" s="114">
        <v>69995.463199999998</v>
      </c>
      <c r="K85" s="114">
        <v>8258.0040499999996</v>
      </c>
      <c r="L85" s="114">
        <v>43894.4902</v>
      </c>
      <c r="M85" s="114">
        <v>641.24579999999992</v>
      </c>
      <c r="N85" s="114">
        <v>18727.549100000004</v>
      </c>
      <c r="O85" s="114">
        <v>6929.3099999999986</v>
      </c>
      <c r="P85" s="115" t="s">
        <v>168</v>
      </c>
      <c r="Q85" s="114">
        <v>645.46990000000005</v>
      </c>
      <c r="R85" s="114">
        <v>141593</v>
      </c>
      <c r="S85" s="114">
        <v>46322.524359999996</v>
      </c>
      <c r="T85" s="114">
        <v>50945.219320000004</v>
      </c>
      <c r="U85" s="114">
        <v>9057.0910299999978</v>
      </c>
      <c r="V85" s="114">
        <v>14963.0833</v>
      </c>
      <c r="W85" s="114">
        <v>87750.570399999997</v>
      </c>
      <c r="X85" s="114">
        <v>141174.14848999999</v>
      </c>
      <c r="Y85" s="114">
        <v>143157.91519999999</v>
      </c>
      <c r="Z85" s="114">
        <v>202861.46471999999</v>
      </c>
      <c r="AA85" s="114">
        <v>141977.6636</v>
      </c>
      <c r="AB85" s="114">
        <v>10638.999250000001</v>
      </c>
      <c r="AC85" s="114">
        <v>58367.276680000003</v>
      </c>
      <c r="AD85" s="114">
        <v>15758.810900000002</v>
      </c>
      <c r="AE85" s="91">
        <v>1336.7693199999999</v>
      </c>
      <c r="AF85" s="180">
        <v>0</v>
      </c>
      <c r="AG85" s="185"/>
      <c r="AH85" s="186"/>
      <c r="AI85" s="106"/>
    </row>
    <row r="86" spans="1:35" ht="17.25" customHeight="1" x14ac:dyDescent="0.25">
      <c r="A86" s="117">
        <v>43515</v>
      </c>
      <c r="B86" s="111">
        <v>3007.2725000000005</v>
      </c>
      <c r="C86" s="111">
        <v>16620.627</v>
      </c>
      <c r="D86" s="111">
        <v>150</v>
      </c>
      <c r="E86" s="111">
        <v>19864.941010000002</v>
      </c>
      <c r="F86" s="111">
        <v>479826.84959999996</v>
      </c>
      <c r="G86" s="111">
        <v>9538.7641999999996</v>
      </c>
      <c r="H86" s="111">
        <v>97343.051760000075</v>
      </c>
      <c r="I86" s="111">
        <v>14672.651800000009</v>
      </c>
      <c r="J86" s="111">
        <v>180691.10720000003</v>
      </c>
      <c r="K86" s="111">
        <v>9964.469219999999</v>
      </c>
      <c r="L86" s="111">
        <v>276.726</v>
      </c>
      <c r="M86" s="111">
        <v>225.6345</v>
      </c>
      <c r="N86" s="111">
        <v>5569.2000000000007</v>
      </c>
      <c r="O86" s="111">
        <v>2154.8049999999998</v>
      </c>
      <c r="P86" s="112" t="s">
        <v>168</v>
      </c>
      <c r="Q86" s="111">
        <v>1561.0250999999998</v>
      </c>
      <c r="R86" s="111">
        <v>130042</v>
      </c>
      <c r="S86" s="111">
        <v>67313.232799999969</v>
      </c>
      <c r="T86" s="111">
        <v>135695.66144000003</v>
      </c>
      <c r="U86" s="111">
        <v>12914.868900000001</v>
      </c>
      <c r="V86" s="111">
        <v>14928.403749999999</v>
      </c>
      <c r="W86" s="111">
        <v>41332.800000000003</v>
      </c>
      <c r="X86" s="111">
        <v>61473.406999999999</v>
      </c>
      <c r="Y86" s="111">
        <v>104699.776</v>
      </c>
      <c r="Z86" s="111">
        <v>164759.66342</v>
      </c>
      <c r="AA86" s="111">
        <v>143878.75</v>
      </c>
      <c r="AB86" s="111">
        <v>5432.2616500000004</v>
      </c>
      <c r="AC86" s="111">
        <v>110851.80212000004</v>
      </c>
      <c r="AD86" s="111">
        <v>7236.5612999999985</v>
      </c>
      <c r="AE86" s="111">
        <v>611.40656999999999</v>
      </c>
      <c r="AF86" s="181">
        <v>0</v>
      </c>
      <c r="AG86" s="185"/>
      <c r="AH86" s="186"/>
      <c r="AI86" s="106"/>
    </row>
    <row r="87" spans="1:35" ht="17.25" customHeight="1" thickBot="1" x14ac:dyDescent="0.3">
      <c r="A87" s="116">
        <v>43543</v>
      </c>
      <c r="B87" s="108">
        <v>7689.4693000000007</v>
      </c>
      <c r="C87" s="108">
        <v>9566.1899999999987</v>
      </c>
      <c r="D87" s="108">
        <v>27990.759900000001</v>
      </c>
      <c r="E87" s="108">
        <v>7380.1793899999993</v>
      </c>
      <c r="F87" s="108">
        <v>281586.77182000002</v>
      </c>
      <c r="G87" s="108">
        <v>8791.3649999999998</v>
      </c>
      <c r="H87" s="108">
        <v>68416.038840000008</v>
      </c>
      <c r="I87" s="108">
        <v>4984.6022000000003</v>
      </c>
      <c r="J87" s="108">
        <v>146570.90720000002</v>
      </c>
      <c r="K87" s="108">
        <v>8625.6503000000012</v>
      </c>
      <c r="L87" s="108">
        <v>1451.5722000000001</v>
      </c>
      <c r="M87" s="108">
        <v>315.411</v>
      </c>
      <c r="N87" s="108">
        <v>7582.5748999999996</v>
      </c>
      <c r="O87" s="108">
        <v>3207.2575000000002</v>
      </c>
      <c r="P87" s="109" t="s">
        <v>168</v>
      </c>
      <c r="Q87" s="108">
        <v>648.18600000000004</v>
      </c>
      <c r="R87" s="108">
        <v>89310</v>
      </c>
      <c r="S87" s="108">
        <v>17210.886590000002</v>
      </c>
      <c r="T87" s="108">
        <v>86776.17932000001</v>
      </c>
      <c r="U87" s="108">
        <v>14024.092959999998</v>
      </c>
      <c r="V87" s="108">
        <v>8430.6283100000001</v>
      </c>
      <c r="W87" s="108">
        <v>39905.096400000002</v>
      </c>
      <c r="X87" s="108">
        <v>60722.142739999996</v>
      </c>
      <c r="Y87" s="108">
        <v>89587.479659999997</v>
      </c>
      <c r="Z87" s="108">
        <v>147671.28775000002</v>
      </c>
      <c r="AA87" s="108">
        <v>263048.30556000001</v>
      </c>
      <c r="AB87" s="108">
        <v>3902.6821099999997</v>
      </c>
      <c r="AC87" s="108">
        <v>90074.943480000031</v>
      </c>
      <c r="AD87" s="108">
        <v>10318.52658</v>
      </c>
      <c r="AE87" s="108">
        <v>598.42796999999996</v>
      </c>
      <c r="AF87" s="182">
        <v>104.1</v>
      </c>
      <c r="AG87" s="185"/>
      <c r="AH87" s="186"/>
      <c r="AI87" s="106"/>
    </row>
    <row r="88" spans="1:35" ht="17.25" customHeight="1" x14ac:dyDescent="0.25">
      <c r="A88" s="113">
        <v>43574</v>
      </c>
      <c r="B88" s="114">
        <v>31339.6001</v>
      </c>
      <c r="C88" s="114">
        <v>540.78156999999999</v>
      </c>
      <c r="D88" s="114">
        <v>45408.762600000009</v>
      </c>
      <c r="E88" s="114">
        <v>6475.1043799999979</v>
      </c>
      <c r="F88" s="114">
        <v>330245.66619999998</v>
      </c>
      <c r="G88" s="114">
        <v>8963.9044799999992</v>
      </c>
      <c r="H88" s="114">
        <v>97038.442350000027</v>
      </c>
      <c r="I88" s="114">
        <v>5403.2864999999993</v>
      </c>
      <c r="J88" s="114">
        <v>76526.743399999992</v>
      </c>
      <c r="K88" s="114">
        <v>19543.949499999995</v>
      </c>
      <c r="L88" s="114">
        <v>236.81319999999997</v>
      </c>
      <c r="M88" s="114">
        <v>300</v>
      </c>
      <c r="N88" s="114">
        <v>13929.530199999999</v>
      </c>
      <c r="O88" s="114">
        <v>1676.6256299999998</v>
      </c>
      <c r="P88" s="115" t="s">
        <v>168</v>
      </c>
      <c r="Q88" s="114">
        <v>1335.779</v>
      </c>
      <c r="R88" s="114">
        <v>83633</v>
      </c>
      <c r="S88" s="114">
        <v>36101.008500000011</v>
      </c>
      <c r="T88" s="114">
        <v>77613.179900000017</v>
      </c>
      <c r="U88" s="114">
        <v>8874.4371499999997</v>
      </c>
      <c r="V88" s="114">
        <v>8858.4373699999996</v>
      </c>
      <c r="W88" s="114">
        <v>21224.082000000002</v>
      </c>
      <c r="X88" s="114">
        <v>45623</v>
      </c>
      <c r="Y88" s="114">
        <v>100199.95931999999</v>
      </c>
      <c r="Z88" s="114">
        <v>170352.73058999999</v>
      </c>
      <c r="AA88" s="114">
        <v>272334.75</v>
      </c>
      <c r="AB88" s="114">
        <v>8788.9030300000013</v>
      </c>
      <c r="AC88" s="114">
        <v>77129.19279999999</v>
      </c>
      <c r="AD88" s="114">
        <v>5213.6380999999992</v>
      </c>
      <c r="AE88" s="91">
        <v>843.1270300000001</v>
      </c>
      <c r="AF88" s="180">
        <v>156</v>
      </c>
      <c r="AG88" s="185"/>
      <c r="AH88" s="186"/>
      <c r="AI88" s="106"/>
    </row>
    <row r="89" spans="1:35" ht="17.25" customHeight="1" x14ac:dyDescent="0.25">
      <c r="A89" s="110">
        <v>43604</v>
      </c>
      <c r="B89" s="111">
        <v>24559</v>
      </c>
      <c r="C89" s="111">
        <v>3555.0915800000016</v>
      </c>
      <c r="D89" s="111">
        <v>47840.142400000004</v>
      </c>
      <c r="E89" s="111">
        <v>5004.1300899999997</v>
      </c>
      <c r="F89" s="111">
        <v>153354.44747000001</v>
      </c>
      <c r="G89" s="111">
        <v>3186.3787999999995</v>
      </c>
      <c r="H89" s="111">
        <v>67670.779559999981</v>
      </c>
      <c r="I89" s="111">
        <v>3052.1196</v>
      </c>
      <c r="J89" s="111">
        <v>218977.64833999999</v>
      </c>
      <c r="K89" s="111">
        <v>5568.9755500000001</v>
      </c>
      <c r="L89" s="111">
        <v>181.0686</v>
      </c>
      <c r="M89" s="111">
        <v>0</v>
      </c>
      <c r="N89" s="111">
        <v>4320.8519999999999</v>
      </c>
      <c r="O89" s="111">
        <v>989.94499999999994</v>
      </c>
      <c r="P89" s="112" t="s">
        <v>168</v>
      </c>
      <c r="Q89" s="111">
        <v>776.58349999999996</v>
      </c>
      <c r="R89" s="111">
        <v>47994</v>
      </c>
      <c r="S89" s="111">
        <v>27855.085680000004</v>
      </c>
      <c r="T89" s="111">
        <v>153804.25937999997</v>
      </c>
      <c r="U89" s="111">
        <v>8720.4511600000005</v>
      </c>
      <c r="V89" s="111">
        <v>7334.1500000000005</v>
      </c>
      <c r="W89" s="111">
        <v>8621.4009999999998</v>
      </c>
      <c r="X89" s="111">
        <v>10436.371999999999</v>
      </c>
      <c r="Y89" s="111">
        <v>74276.447100000005</v>
      </c>
      <c r="Z89" s="111">
        <v>151325</v>
      </c>
      <c r="AA89" s="111">
        <v>109731.81080000001</v>
      </c>
      <c r="AB89" s="111">
        <v>13217.1186</v>
      </c>
      <c r="AC89" s="111">
        <v>148354.83936999997</v>
      </c>
      <c r="AD89" s="111">
        <v>2849.3272100000004</v>
      </c>
      <c r="AE89" s="111">
        <v>951.96440000000007</v>
      </c>
      <c r="AF89" s="181">
        <v>0</v>
      </c>
      <c r="AG89" s="185"/>
      <c r="AH89" s="186"/>
      <c r="AI89" s="106"/>
    </row>
    <row r="90" spans="1:35" ht="17.25" customHeight="1" thickBot="1" x14ac:dyDescent="0.3">
      <c r="A90" s="107">
        <v>43635</v>
      </c>
      <c r="B90" s="108">
        <v>9535.4691999999995</v>
      </c>
      <c r="C90" s="108">
        <v>1281.6257499999997</v>
      </c>
      <c r="D90" s="108">
        <v>97575.747049999991</v>
      </c>
      <c r="E90" s="108">
        <v>3134.0722799999999</v>
      </c>
      <c r="F90" s="108">
        <v>52667.627640000006</v>
      </c>
      <c r="G90" s="108">
        <v>2080.84</v>
      </c>
      <c r="H90" s="108">
        <v>58156.338900000002</v>
      </c>
      <c r="I90" s="108">
        <v>6911.6467299999995</v>
      </c>
      <c r="J90" s="108">
        <v>40696.932959999998</v>
      </c>
      <c r="K90" s="108">
        <v>3173.5611700000004</v>
      </c>
      <c r="L90" s="108">
        <v>5648.8755000000001</v>
      </c>
      <c r="M90" s="108">
        <v>58.952249999999999</v>
      </c>
      <c r="N90" s="108">
        <v>4768.7555999999995</v>
      </c>
      <c r="O90" s="108">
        <v>90.552500000000009</v>
      </c>
      <c r="P90" s="109" t="s">
        <v>168</v>
      </c>
      <c r="Q90" s="108">
        <v>1849.47165</v>
      </c>
      <c r="R90" s="108">
        <v>26374</v>
      </c>
      <c r="S90" s="108">
        <v>20519.28715</v>
      </c>
      <c r="T90" s="108">
        <v>41299.621849999996</v>
      </c>
      <c r="U90" s="108">
        <v>13038.108919999999</v>
      </c>
      <c r="V90" s="108">
        <v>5245.6647499999999</v>
      </c>
      <c r="W90" s="108">
        <v>8974.4</v>
      </c>
      <c r="X90" s="108">
        <v>17614</v>
      </c>
      <c r="Y90" s="108">
        <v>0</v>
      </c>
      <c r="Z90" s="108">
        <v>1536.4215100000001</v>
      </c>
      <c r="AA90" s="108">
        <v>17283</v>
      </c>
      <c r="AB90" s="108">
        <v>6676.19625</v>
      </c>
      <c r="AC90" s="108">
        <v>42378.037690000005</v>
      </c>
      <c r="AD90" s="108">
        <v>4694.3551599999992</v>
      </c>
      <c r="AE90" s="108">
        <v>844.64471000000003</v>
      </c>
      <c r="AF90" s="182">
        <v>1703.19</v>
      </c>
      <c r="AG90" s="185"/>
      <c r="AH90" s="186"/>
      <c r="AI90" s="106"/>
    </row>
    <row r="91" spans="1:35" ht="17.25" customHeight="1" x14ac:dyDescent="0.25">
      <c r="A91" s="123">
        <v>43665</v>
      </c>
      <c r="B91" s="111">
        <v>5808.7558999999992</v>
      </c>
      <c r="C91" s="111">
        <v>477.93824999999993</v>
      </c>
      <c r="D91" s="111">
        <v>97575.747049999991</v>
      </c>
      <c r="E91" s="111">
        <v>1035.60736</v>
      </c>
      <c r="F91" s="111">
        <v>19855.620080000001</v>
      </c>
      <c r="G91" s="111">
        <v>2497.8975</v>
      </c>
      <c r="H91" s="111">
        <v>60867.502829999983</v>
      </c>
      <c r="I91" s="111">
        <v>3220.1040999999996</v>
      </c>
      <c r="J91" s="111">
        <v>89313.508600000016</v>
      </c>
      <c r="K91" s="111">
        <v>2879.10358</v>
      </c>
      <c r="L91" s="111">
        <v>2696.4189000000001</v>
      </c>
      <c r="M91" s="111">
        <v>150.822</v>
      </c>
      <c r="N91" s="111">
        <v>2821.4519999999998</v>
      </c>
      <c r="O91" s="111">
        <v>382.27200000000005</v>
      </c>
      <c r="P91" s="112" t="s">
        <v>168</v>
      </c>
      <c r="Q91" s="111">
        <v>776.44166000000007</v>
      </c>
      <c r="R91" s="111">
        <v>8745</v>
      </c>
      <c r="S91" s="111">
        <v>10516.907509999999</v>
      </c>
      <c r="T91" s="111">
        <v>70181.056870000015</v>
      </c>
      <c r="U91" s="111">
        <v>13380.186079999996</v>
      </c>
      <c r="V91" s="111">
        <v>3591.6743099999999</v>
      </c>
      <c r="W91" s="111">
        <v>208.626</v>
      </c>
      <c r="X91" s="111">
        <v>6563.2692399999996</v>
      </c>
      <c r="Y91" s="111">
        <v>10072.479660000001</v>
      </c>
      <c r="Z91" s="111">
        <v>32156.947250000001</v>
      </c>
      <c r="AA91" s="111">
        <v>16277.305560000001</v>
      </c>
      <c r="AB91" s="111">
        <v>16834.757840000002</v>
      </c>
      <c r="AC91" s="111">
        <v>72447.790729999993</v>
      </c>
      <c r="AD91" s="111">
        <v>1815.6026100000001</v>
      </c>
      <c r="AE91" s="91">
        <v>931.69075999999995</v>
      </c>
      <c r="AF91" s="180">
        <v>0</v>
      </c>
      <c r="AG91" s="185"/>
      <c r="AH91" s="186"/>
      <c r="AI91" s="106"/>
    </row>
    <row r="92" spans="1:35" ht="17.25" customHeight="1" x14ac:dyDescent="0.25">
      <c r="A92" s="123">
        <v>43696</v>
      </c>
      <c r="B92" s="111">
        <v>631.53710000000001</v>
      </c>
      <c r="C92" s="111">
        <v>1215.56431</v>
      </c>
      <c r="D92" s="111">
        <v>9907.3366499999993</v>
      </c>
      <c r="E92" s="111">
        <v>185.56874999999997</v>
      </c>
      <c r="F92" s="111">
        <v>26612.554600000003</v>
      </c>
      <c r="G92" s="111">
        <v>3696.1640500000003</v>
      </c>
      <c r="H92" s="111">
        <v>27283.696880000007</v>
      </c>
      <c r="I92" s="111">
        <v>2647.7566999999999</v>
      </c>
      <c r="J92" s="111">
        <v>69052.491119999991</v>
      </c>
      <c r="K92" s="111">
        <v>2570.24305</v>
      </c>
      <c r="L92" s="111">
        <v>50.481000000000009</v>
      </c>
      <c r="M92" s="111">
        <v>75.411000000000001</v>
      </c>
      <c r="N92" s="111">
        <v>3539.4236000000005</v>
      </c>
      <c r="O92" s="111">
        <v>-21686.774999999998</v>
      </c>
      <c r="P92" s="111">
        <v>10910</v>
      </c>
      <c r="Q92" s="111">
        <v>184.11510000000001</v>
      </c>
      <c r="R92" s="111">
        <v>5788</v>
      </c>
      <c r="S92" s="111">
        <v>3554.6472999999996</v>
      </c>
      <c r="T92" s="111">
        <v>43147.137940000001</v>
      </c>
      <c r="U92" s="111">
        <v>3874.9877599999995</v>
      </c>
      <c r="V92" s="111">
        <v>4121.5532999999996</v>
      </c>
      <c r="W92" s="111">
        <v>0</v>
      </c>
      <c r="X92" s="111">
        <v>2186.5</v>
      </c>
      <c r="Y92" s="111">
        <v>10019.982</v>
      </c>
      <c r="Z92" s="111">
        <v>18602.24022</v>
      </c>
      <c r="AA92" s="111">
        <v>10162.411</v>
      </c>
      <c r="AB92" s="111">
        <v>3408.7464</v>
      </c>
      <c r="AC92" s="111">
        <v>44733.988919999996</v>
      </c>
      <c r="AD92" s="111">
        <v>502.46195</v>
      </c>
      <c r="AE92" s="111">
        <v>395.87711999999999</v>
      </c>
      <c r="AF92" s="181">
        <v>0</v>
      </c>
      <c r="AG92" s="185"/>
      <c r="AH92" s="186"/>
      <c r="AI92" s="106"/>
    </row>
    <row r="93" spans="1:35" ht="17.25" customHeight="1" thickBot="1" x14ac:dyDescent="0.3">
      <c r="A93" s="122">
        <v>43727</v>
      </c>
      <c r="B93" s="108">
        <v>376.2955</v>
      </c>
      <c r="C93" s="108">
        <v>228.09005999999999</v>
      </c>
      <c r="D93" s="108">
        <v>0.2838</v>
      </c>
      <c r="E93" s="108">
        <v>336.55378000000007</v>
      </c>
      <c r="F93" s="108">
        <v>92294.97</v>
      </c>
      <c r="G93" s="108">
        <v>2669.0455999999999</v>
      </c>
      <c r="H93" s="108">
        <v>22079.534149999996</v>
      </c>
      <c r="I93" s="108">
        <v>2130.2613000000001</v>
      </c>
      <c r="J93" s="108">
        <v>39989.9804</v>
      </c>
      <c r="K93" s="108">
        <v>3704.02819</v>
      </c>
      <c r="L93" s="108">
        <v>1359.0192000000002</v>
      </c>
      <c r="M93" s="108">
        <v>60.448500000000003</v>
      </c>
      <c r="N93" s="108">
        <v>12104.304</v>
      </c>
      <c r="O93" s="108">
        <v>-9514.5099999999984</v>
      </c>
      <c r="P93" s="108">
        <v>5170</v>
      </c>
      <c r="Q93" s="108">
        <v>24.917750000000002</v>
      </c>
      <c r="R93" s="108">
        <v>32650.913399999998</v>
      </c>
      <c r="S93" s="108">
        <v>2037.6</v>
      </c>
      <c r="T93" s="108">
        <v>20216.675899999998</v>
      </c>
      <c r="U93" s="108">
        <v>6018.3463099999981</v>
      </c>
      <c r="V93" s="108">
        <v>2125.24575</v>
      </c>
      <c r="W93" s="108">
        <v>1327.2</v>
      </c>
      <c r="X93" s="108">
        <v>23382.355459999999</v>
      </c>
      <c r="Y93" s="108">
        <v>23850.029340000001</v>
      </c>
      <c r="Z93" s="108">
        <v>46351.89645</v>
      </c>
      <c r="AA93" s="108">
        <v>52952.620609999998</v>
      </c>
      <c r="AB93" s="108">
        <v>3266.9288500000002</v>
      </c>
      <c r="AC93" s="108">
        <v>26882.575400000002</v>
      </c>
      <c r="AD93" s="108">
        <v>224.12195000000003</v>
      </c>
      <c r="AE93" s="108">
        <v>110.18184999999998</v>
      </c>
      <c r="AF93" s="182">
        <v>0</v>
      </c>
      <c r="AG93" s="185"/>
      <c r="AH93" s="186"/>
      <c r="AI93" s="106"/>
    </row>
    <row r="94" spans="1:35" ht="17.25" customHeight="1" x14ac:dyDescent="0.25">
      <c r="A94" s="121">
        <v>43757</v>
      </c>
      <c r="B94" s="114">
        <v>925.66410000000019</v>
      </c>
      <c r="C94" s="114">
        <v>839.81466</v>
      </c>
      <c r="D94" s="114">
        <v>46</v>
      </c>
      <c r="E94" s="114">
        <v>3035.0982599999998</v>
      </c>
      <c r="F94" s="114">
        <v>455093.32208000001</v>
      </c>
      <c r="G94" s="114">
        <v>3693.0271000000002</v>
      </c>
      <c r="H94" s="114">
        <v>20304.28269</v>
      </c>
      <c r="I94" s="114">
        <v>3871.9372499999999</v>
      </c>
      <c r="J94" s="114">
        <v>124587.68759999998</v>
      </c>
      <c r="K94" s="114">
        <v>1063.03801</v>
      </c>
      <c r="L94" s="114">
        <v>2409.3623000000007</v>
      </c>
      <c r="M94" s="114">
        <v>-3037.5817000000002</v>
      </c>
      <c r="N94" s="114">
        <v>11210.623349999998</v>
      </c>
      <c r="O94" s="114">
        <v>180.2895</v>
      </c>
      <c r="P94" s="115" t="s">
        <v>168</v>
      </c>
      <c r="Q94" s="114">
        <v>1.1046</v>
      </c>
      <c r="R94" s="114">
        <v>123882</v>
      </c>
      <c r="S94" s="114">
        <v>734.69705999999996</v>
      </c>
      <c r="T94" s="114">
        <v>77411.018620000017</v>
      </c>
      <c r="U94" s="114">
        <v>3008.1726100000001</v>
      </c>
      <c r="V94" s="114">
        <v>7043.3545099999992</v>
      </c>
      <c r="W94" s="114">
        <v>16387.5831</v>
      </c>
      <c r="X94" s="114">
        <v>84049.52304</v>
      </c>
      <c r="Y94" s="114">
        <v>98639.479659999997</v>
      </c>
      <c r="Z94" s="114">
        <v>149815.71885</v>
      </c>
      <c r="AA94" s="114">
        <v>156118.39455999999</v>
      </c>
      <c r="AB94" s="114">
        <v>3596.0286900000001</v>
      </c>
      <c r="AC94" s="114">
        <v>68056.486380000017</v>
      </c>
      <c r="AD94" s="114">
        <v>788.23765000000003</v>
      </c>
      <c r="AE94" s="91">
        <v>424.05006999999995</v>
      </c>
      <c r="AF94" s="180">
        <v>0</v>
      </c>
      <c r="AG94" s="185"/>
      <c r="AH94" s="186"/>
      <c r="AI94" s="106"/>
    </row>
    <row r="95" spans="1:35" ht="17.25" customHeight="1" x14ac:dyDescent="0.25">
      <c r="A95" s="120">
        <v>43788</v>
      </c>
      <c r="B95" s="111">
        <v>59564.077300000004</v>
      </c>
      <c r="C95" s="111">
        <v>15.92</v>
      </c>
      <c r="D95" s="111">
        <v>16.398</v>
      </c>
      <c r="E95" s="111">
        <v>1589.5899100000001</v>
      </c>
      <c r="F95" s="111">
        <v>553041.89599999995</v>
      </c>
      <c r="G95" s="111">
        <v>3040.8137500000003</v>
      </c>
      <c r="H95" s="111">
        <v>13203.185000000001</v>
      </c>
      <c r="I95" s="111">
        <v>1963.7496500000002</v>
      </c>
      <c r="J95" s="111">
        <v>17616.668659999999</v>
      </c>
      <c r="K95" s="111">
        <v>4814.8553999999995</v>
      </c>
      <c r="L95" s="111">
        <v>157.72649999999999</v>
      </c>
      <c r="M95" s="111">
        <v>0</v>
      </c>
      <c r="N95" s="111">
        <v>18763.261399999999</v>
      </c>
      <c r="O95" s="111">
        <v>1081.835</v>
      </c>
      <c r="P95" s="112" t="s">
        <v>168</v>
      </c>
      <c r="Q95" s="111">
        <v>1123.9997000000001</v>
      </c>
      <c r="R95" s="111">
        <v>150287</v>
      </c>
      <c r="S95" s="111">
        <v>12909.690399999999</v>
      </c>
      <c r="T95" s="111">
        <v>13176.327879999999</v>
      </c>
      <c r="U95" s="111">
        <v>2201.1776500000001</v>
      </c>
      <c r="V95" s="111">
        <v>10622.314780000002</v>
      </c>
      <c r="W95" s="111">
        <v>48908.955399999999</v>
      </c>
      <c r="X95" s="111">
        <v>110966.9948</v>
      </c>
      <c r="Y95" s="111">
        <v>151492</v>
      </c>
      <c r="Z95" s="111">
        <v>235093.25302999999</v>
      </c>
      <c r="AA95" s="111">
        <v>170702.5</v>
      </c>
      <c r="AB95" s="111">
        <v>3447.3564999999994</v>
      </c>
      <c r="AC95" s="111">
        <v>10158.42866</v>
      </c>
      <c r="AD95" s="111">
        <v>1156.1477399999999</v>
      </c>
      <c r="AE95" s="111">
        <v>418.52002999999996</v>
      </c>
      <c r="AF95" s="181">
        <v>0</v>
      </c>
      <c r="AG95" s="185"/>
      <c r="AH95" s="186"/>
      <c r="AI95" s="106"/>
    </row>
    <row r="96" spans="1:35" ht="17.25" customHeight="1" thickBot="1" x14ac:dyDescent="0.3">
      <c r="A96" s="119">
        <v>43818</v>
      </c>
      <c r="B96" s="108">
        <v>61746.542999999998</v>
      </c>
      <c r="C96" s="108">
        <v>234.8</v>
      </c>
      <c r="D96" s="108">
        <v>0</v>
      </c>
      <c r="E96" s="108">
        <v>2472.9130699999996</v>
      </c>
      <c r="F96" s="108">
        <v>425503.75099999999</v>
      </c>
      <c r="G96" s="108">
        <v>907.53120000000001</v>
      </c>
      <c r="H96" s="108">
        <v>39352.511399999996</v>
      </c>
      <c r="I96" s="108">
        <v>2911.0010499999999</v>
      </c>
      <c r="J96" s="108">
        <v>39229.0772</v>
      </c>
      <c r="K96" s="108">
        <v>8629.1396499999973</v>
      </c>
      <c r="L96" s="108">
        <v>3538.4407799999999</v>
      </c>
      <c r="M96" s="108">
        <v>420.44850000000002</v>
      </c>
      <c r="N96" s="108">
        <v>7701.6159999999991</v>
      </c>
      <c r="O96" s="108">
        <v>1463.6949999999997</v>
      </c>
      <c r="P96" s="109" t="s">
        <v>168</v>
      </c>
      <c r="Q96" s="108">
        <v>1363.0884999999998</v>
      </c>
      <c r="R96" s="108">
        <v>133435</v>
      </c>
      <c r="S96" s="108">
        <v>3735.6</v>
      </c>
      <c r="T96" s="108">
        <v>26552.286599999999</v>
      </c>
      <c r="U96" s="108">
        <v>3616.6893999999998</v>
      </c>
      <c r="V96" s="108">
        <v>327.68399999999997</v>
      </c>
      <c r="W96" s="108">
        <v>29132.504400000002</v>
      </c>
      <c r="X96" s="108">
        <v>71079</v>
      </c>
      <c r="Y96" s="108">
        <v>104993.0196</v>
      </c>
      <c r="Z96" s="108">
        <v>192179.6925</v>
      </c>
      <c r="AA96" s="108">
        <v>119959.66099999999</v>
      </c>
      <c r="AB96" s="108">
        <v>3808.4382500000002</v>
      </c>
      <c r="AC96" s="108">
        <v>21427.397199999999</v>
      </c>
      <c r="AD96" s="108">
        <v>1494.1629999999998</v>
      </c>
      <c r="AE96" s="108">
        <v>13.5654</v>
      </c>
      <c r="AF96" s="182">
        <v>0</v>
      </c>
      <c r="AG96" s="185"/>
      <c r="AH96" s="186"/>
      <c r="AI96" s="106"/>
    </row>
    <row r="97" spans="1:35" ht="17.25" customHeight="1" x14ac:dyDescent="0.25">
      <c r="A97" s="118">
        <v>43850</v>
      </c>
      <c r="B97" s="114">
        <v>1201.3031000000001</v>
      </c>
      <c r="C97" s="114">
        <v>3301.4188999999997</v>
      </c>
      <c r="D97" s="114">
        <v>68449.536399999983</v>
      </c>
      <c r="E97" s="114">
        <v>8725.0224299999991</v>
      </c>
      <c r="F97" s="114">
        <v>557460.12300000002</v>
      </c>
      <c r="G97" s="114">
        <v>6546.9130000000005</v>
      </c>
      <c r="H97" s="114">
        <v>73756.142860000007</v>
      </c>
      <c r="I97" s="114">
        <v>5764.4081999999999</v>
      </c>
      <c r="J97" s="114">
        <v>59701.579600000005</v>
      </c>
      <c r="K97" s="114">
        <v>11719.986099999995</v>
      </c>
      <c r="L97" s="114">
        <v>21040.840549999997</v>
      </c>
      <c r="M97" s="114">
        <v>301.0455</v>
      </c>
      <c r="N97" s="114">
        <v>4072.0700999999995</v>
      </c>
      <c r="O97" s="114">
        <v>5021.79</v>
      </c>
      <c r="P97" s="115" t="s">
        <v>168</v>
      </c>
      <c r="Q97" s="114">
        <v>4569.4849000000004</v>
      </c>
      <c r="R97" s="114">
        <v>178528</v>
      </c>
      <c r="S97" s="114">
        <v>15682.521400000001</v>
      </c>
      <c r="T97" s="114">
        <v>40310.780160000002</v>
      </c>
      <c r="U97" s="114">
        <v>8601.9891000000007</v>
      </c>
      <c r="V97" s="114">
        <v>8485.705750000001</v>
      </c>
      <c r="W97" s="114">
        <v>71464.798400000014</v>
      </c>
      <c r="X97" s="114">
        <v>121442.24619999999</v>
      </c>
      <c r="Y97" s="114">
        <v>150000</v>
      </c>
      <c r="Z97" s="114">
        <v>246012.33630999998</v>
      </c>
      <c r="AA97" s="114">
        <v>136360.5</v>
      </c>
      <c r="AB97" s="114">
        <v>16569.951950000006</v>
      </c>
      <c r="AC97" s="114">
        <v>30199.551100000001</v>
      </c>
      <c r="AD97" s="114">
        <v>9518.8311599999979</v>
      </c>
      <c r="AE97" s="91">
        <v>375.01041000000004</v>
      </c>
      <c r="AF97" s="180">
        <v>0</v>
      </c>
      <c r="AG97" s="185"/>
      <c r="AH97" s="186"/>
      <c r="AI97" s="106"/>
    </row>
    <row r="98" spans="1:35" ht="17.25" customHeight="1" x14ac:dyDescent="0.25">
      <c r="A98" s="117">
        <v>43881</v>
      </c>
      <c r="B98" s="111">
        <v>63416.681699999994</v>
      </c>
      <c r="C98" s="111">
        <v>34742.394980000005</v>
      </c>
      <c r="D98" s="111">
        <v>4914.0919999999996</v>
      </c>
      <c r="E98" s="111">
        <v>13746.388169999997</v>
      </c>
      <c r="F98" s="111">
        <v>463740.54319999996</v>
      </c>
      <c r="G98" s="111">
        <v>16196.923550000001</v>
      </c>
      <c r="H98" s="111">
        <v>87434.748260000008</v>
      </c>
      <c r="I98" s="111">
        <v>8072.8755499999997</v>
      </c>
      <c r="J98" s="111">
        <v>69281.137620000009</v>
      </c>
      <c r="K98" s="111">
        <v>7630.0650500000002</v>
      </c>
      <c r="L98" s="111">
        <v>440.51490000000001</v>
      </c>
      <c r="M98" s="111">
        <v>75.411000000000001</v>
      </c>
      <c r="N98" s="111">
        <v>9937.0032500000016</v>
      </c>
      <c r="O98" s="111">
        <v>2085.7030999999997</v>
      </c>
      <c r="P98" s="112" t="s">
        <v>168</v>
      </c>
      <c r="Q98" s="111">
        <v>3734.4275999999995</v>
      </c>
      <c r="R98" s="111">
        <v>134381</v>
      </c>
      <c r="S98" s="111">
        <v>55249.141229999987</v>
      </c>
      <c r="T98" s="111">
        <v>71193.112290000005</v>
      </c>
      <c r="U98" s="111">
        <v>24189.28599</v>
      </c>
      <c r="V98" s="111">
        <v>7223.8842500000001</v>
      </c>
      <c r="W98" s="111">
        <v>52052.160000000003</v>
      </c>
      <c r="X98" s="111">
        <v>67477.75</v>
      </c>
      <c r="Y98" s="111">
        <v>115010</v>
      </c>
      <c r="Z98" s="111">
        <v>246743.09422</v>
      </c>
      <c r="AA98" s="111">
        <v>131916.82199999999</v>
      </c>
      <c r="AB98" s="111">
        <v>2954.4109500000004</v>
      </c>
      <c r="AC98" s="111">
        <v>67650.650250000006</v>
      </c>
      <c r="AD98" s="111">
        <v>11671.522010000001</v>
      </c>
      <c r="AE98" s="111">
        <v>309.23106999999999</v>
      </c>
      <c r="AF98" s="181">
        <v>0</v>
      </c>
      <c r="AG98" s="185"/>
      <c r="AH98" s="186"/>
      <c r="AI98" s="106"/>
    </row>
    <row r="99" spans="1:35" ht="17.25" customHeight="1" thickBot="1" x14ac:dyDescent="0.3">
      <c r="A99" s="116">
        <v>43919</v>
      </c>
      <c r="B99" s="108">
        <v>84349.209600000002</v>
      </c>
      <c r="C99" s="108">
        <v>7225.772750000001</v>
      </c>
      <c r="D99" s="108">
        <v>32336.903399999999</v>
      </c>
      <c r="E99" s="108">
        <v>8906.5989399999999</v>
      </c>
      <c r="F99" s="108">
        <v>407093.62138000003</v>
      </c>
      <c r="G99" s="108">
        <v>7573.1125000000011</v>
      </c>
      <c r="H99" s="108">
        <v>116187.39109</v>
      </c>
      <c r="I99" s="108">
        <v>16775.73863</v>
      </c>
      <c r="J99" s="108">
        <v>152429.11997999999</v>
      </c>
      <c r="K99" s="108">
        <v>8332.1667200000011</v>
      </c>
      <c r="L99" s="108">
        <v>6184.4291999999996</v>
      </c>
      <c r="M99" s="108">
        <v>265.447</v>
      </c>
      <c r="N99" s="108">
        <v>4996.365499999999</v>
      </c>
      <c r="O99" s="108">
        <v>2479.8780999999999</v>
      </c>
      <c r="P99" s="109" t="s">
        <v>168</v>
      </c>
      <c r="Q99" s="108">
        <v>5376.0984599999992</v>
      </c>
      <c r="R99" s="108">
        <v>125186.6624</v>
      </c>
      <c r="S99" s="108">
        <v>35617.889009999992</v>
      </c>
      <c r="T99" s="108">
        <v>113718.26016000002</v>
      </c>
      <c r="U99" s="108">
        <v>18145.591379999998</v>
      </c>
      <c r="V99" s="108">
        <v>7051.2224600000009</v>
      </c>
      <c r="W99" s="108">
        <v>32851.921999999999</v>
      </c>
      <c r="X99" s="108">
        <v>78530.210200000001</v>
      </c>
      <c r="Y99" s="108">
        <v>118397.47966</v>
      </c>
      <c r="Z99" s="108">
        <v>197120.13449999999</v>
      </c>
      <c r="AA99" s="108">
        <v>228496.18852</v>
      </c>
      <c r="AB99" s="108">
        <v>5668.7897399999993</v>
      </c>
      <c r="AC99" s="108">
        <v>112690.96156000003</v>
      </c>
      <c r="AD99" s="108">
        <v>13032.28649</v>
      </c>
      <c r="AE99" s="108">
        <v>9740.5450199999977</v>
      </c>
      <c r="AF99" s="182">
        <v>1490.1</v>
      </c>
      <c r="AG99" s="185"/>
      <c r="AH99" s="186"/>
      <c r="AI99" s="106"/>
    </row>
    <row r="100" spans="1:35" ht="17.25" customHeight="1" x14ac:dyDescent="0.25">
      <c r="A100" s="113">
        <v>43941</v>
      </c>
      <c r="B100" s="114">
        <v>0</v>
      </c>
      <c r="C100" s="114">
        <v>1348.59645</v>
      </c>
      <c r="D100" s="114">
        <v>18650.170000000002</v>
      </c>
      <c r="E100" s="114">
        <v>4400.5803999999998</v>
      </c>
      <c r="F100" s="114">
        <v>391234.27875</v>
      </c>
      <c r="G100" s="114">
        <v>5320.0535</v>
      </c>
      <c r="H100" s="114">
        <v>61998.555609999996</v>
      </c>
      <c r="I100" s="114">
        <v>46530.476799999997</v>
      </c>
      <c r="J100" s="114">
        <v>48114.554400000001</v>
      </c>
      <c r="K100" s="114">
        <v>5017.2800500000003</v>
      </c>
      <c r="L100" s="114">
        <v>84.073800000000006</v>
      </c>
      <c r="M100" s="114">
        <v>75.411000000000001</v>
      </c>
      <c r="N100" s="114">
        <v>24286.67</v>
      </c>
      <c r="O100" s="114">
        <v>1314.15</v>
      </c>
      <c r="P100" s="115" t="s">
        <v>168</v>
      </c>
      <c r="Q100" s="114">
        <v>2219.6961500000002</v>
      </c>
      <c r="R100" s="114">
        <v>40294</v>
      </c>
      <c r="S100" s="114">
        <v>63465.2762</v>
      </c>
      <c r="T100" s="114">
        <v>58561.928599999999</v>
      </c>
      <c r="U100" s="114">
        <v>9126.4905999999992</v>
      </c>
      <c r="V100" s="114">
        <v>6836.2000000000007</v>
      </c>
      <c r="W100" s="114">
        <v>40744.357400000001</v>
      </c>
      <c r="X100" s="114">
        <v>92772</v>
      </c>
      <c r="Y100" s="114">
        <v>129785</v>
      </c>
      <c r="Z100" s="114">
        <v>198045.44200000001</v>
      </c>
      <c r="AA100" s="114">
        <v>236378.22349999999</v>
      </c>
      <c r="AB100" s="114">
        <v>610.51459999999997</v>
      </c>
      <c r="AC100" s="114">
        <v>61184.205800000003</v>
      </c>
      <c r="AD100" s="114">
        <v>3082.4530499999996</v>
      </c>
      <c r="AE100" s="91">
        <v>941.88940000000002</v>
      </c>
      <c r="AF100" s="180">
        <v>218.5</v>
      </c>
      <c r="AG100" s="185"/>
      <c r="AH100" s="186"/>
      <c r="AI100" s="106"/>
    </row>
    <row r="101" spans="1:35" ht="17.25" customHeight="1" x14ac:dyDescent="0.25">
      <c r="A101" s="110">
        <v>43971</v>
      </c>
      <c r="B101" s="111">
        <v>5103.0418</v>
      </c>
      <c r="C101" s="111">
        <v>2353.6758300000001</v>
      </c>
      <c r="D101" s="111">
        <v>54491.366199999997</v>
      </c>
      <c r="E101" s="111">
        <v>2562.7935400000006</v>
      </c>
      <c r="F101" s="111">
        <v>240174.97288000002</v>
      </c>
      <c r="G101" s="111">
        <v>2328.8173000000002</v>
      </c>
      <c r="H101" s="111">
        <v>28227.905830000003</v>
      </c>
      <c r="I101" s="111">
        <v>7065.80728</v>
      </c>
      <c r="J101" s="111">
        <v>117250.89269999998</v>
      </c>
      <c r="K101" s="111">
        <v>3378.6688999999997</v>
      </c>
      <c r="L101" s="111">
        <v>11020.4319</v>
      </c>
      <c r="M101" s="111">
        <v>150.822</v>
      </c>
      <c r="N101" s="111">
        <v>2924.5392500000007</v>
      </c>
      <c r="O101" s="111">
        <v>611.11699999999996</v>
      </c>
      <c r="P101" s="112" t="s">
        <v>168</v>
      </c>
      <c r="Q101" s="111">
        <v>675.04636000000005</v>
      </c>
      <c r="R101" s="111">
        <v>57441</v>
      </c>
      <c r="S101" s="111">
        <v>12196.002410000001</v>
      </c>
      <c r="T101" s="111">
        <v>87261.223530000032</v>
      </c>
      <c r="U101" s="111">
        <v>1619.5497500000001</v>
      </c>
      <c r="V101" s="111">
        <v>10344.4004</v>
      </c>
      <c r="W101" s="111">
        <v>11856.882</v>
      </c>
      <c r="X101" s="111">
        <v>41316.379840000001</v>
      </c>
      <c r="Y101" s="111">
        <v>80159.154899999994</v>
      </c>
      <c r="Z101" s="111">
        <v>136758.21831999999</v>
      </c>
      <c r="AA101" s="111">
        <v>133262.11806000001</v>
      </c>
      <c r="AB101" s="111">
        <v>10480.6265</v>
      </c>
      <c r="AC101" s="111">
        <v>79206.514170000009</v>
      </c>
      <c r="AD101" s="111">
        <v>1162.8104699999999</v>
      </c>
      <c r="AE101" s="111">
        <v>680.39451999999994</v>
      </c>
      <c r="AF101" s="181">
        <v>150</v>
      </c>
      <c r="AG101" s="185"/>
      <c r="AH101" s="186"/>
      <c r="AI101" s="106"/>
    </row>
    <row r="102" spans="1:35" ht="17.25" customHeight="1" thickBot="1" x14ac:dyDescent="0.3">
      <c r="A102" s="107">
        <v>44002</v>
      </c>
      <c r="B102" s="108">
        <v>1253.3031000000001</v>
      </c>
      <c r="C102" s="108">
        <v>1832.6133299999999</v>
      </c>
      <c r="D102" s="108">
        <v>74488.835200000001</v>
      </c>
      <c r="E102" s="108">
        <v>2121.2731399999998</v>
      </c>
      <c r="F102" s="108">
        <v>24610.976999999999</v>
      </c>
      <c r="G102" s="108">
        <v>7444.3652999999995</v>
      </c>
      <c r="H102" s="108">
        <v>72056.49807999999</v>
      </c>
      <c r="I102" s="108">
        <v>6152.287260000001</v>
      </c>
      <c r="J102" s="108">
        <v>97195.550799999983</v>
      </c>
      <c r="K102" s="108">
        <v>4428.6077999999998</v>
      </c>
      <c r="L102" s="108">
        <v>742.05585999999994</v>
      </c>
      <c r="M102" s="108">
        <v>490.42380000000003</v>
      </c>
      <c r="N102" s="108">
        <v>2847.6480000000001</v>
      </c>
      <c r="O102" s="108">
        <v>294.33560000000006</v>
      </c>
      <c r="P102" s="109" t="s">
        <v>168</v>
      </c>
      <c r="Q102" s="108">
        <v>575.58839999999998</v>
      </c>
      <c r="R102" s="108">
        <v>9230</v>
      </c>
      <c r="S102" s="108">
        <v>8462.0774000000001</v>
      </c>
      <c r="T102" s="108">
        <v>73132.923900000023</v>
      </c>
      <c r="U102" s="108">
        <v>10888.985189999999</v>
      </c>
      <c r="V102" s="108">
        <v>1164.9575600000001</v>
      </c>
      <c r="W102" s="108">
        <v>5056</v>
      </c>
      <c r="X102" s="108">
        <v>4193.7739600000004</v>
      </c>
      <c r="Y102" s="108">
        <v>10162.60766</v>
      </c>
      <c r="Z102" s="108">
        <v>17002.209940000001</v>
      </c>
      <c r="AA102" s="108">
        <v>18366</v>
      </c>
      <c r="AB102" s="108">
        <v>3555.73794</v>
      </c>
      <c r="AC102" s="108">
        <v>82366.186199999996</v>
      </c>
      <c r="AD102" s="108">
        <v>3959.5714699999999</v>
      </c>
      <c r="AE102" s="108">
        <v>571.91485999999998</v>
      </c>
      <c r="AF102" s="182">
        <v>150</v>
      </c>
      <c r="AG102" s="185"/>
      <c r="AH102" s="186"/>
      <c r="AI102" s="106"/>
    </row>
    <row r="112" spans="1:35" ht="17.25" customHeight="1" x14ac:dyDescent="0.25">
      <c r="A112" s="106"/>
    </row>
    <row r="113" spans="1:1" ht="17.25" customHeight="1" x14ac:dyDescent="0.25">
      <c r="A113" s="106"/>
    </row>
    <row r="114" spans="1:1" ht="17.25" customHeight="1" x14ac:dyDescent="0.25">
      <c r="A114" s="106"/>
    </row>
    <row r="115" spans="1:1" ht="17.25" customHeight="1" x14ac:dyDescent="0.25">
      <c r="A115" s="106"/>
    </row>
    <row r="116" spans="1:1" ht="17.25" customHeight="1" x14ac:dyDescent="0.25">
      <c r="A116" s="106"/>
    </row>
    <row r="133" spans="1:1" ht="17.25" customHeight="1" x14ac:dyDescent="0.25">
      <c r="A133" s="106"/>
    </row>
    <row r="134" spans="1:1" ht="17.25" customHeight="1" x14ac:dyDescent="0.25">
      <c r="A134" s="106"/>
    </row>
    <row r="135" spans="1:1" ht="17.25" customHeight="1" x14ac:dyDescent="0.25">
      <c r="A135" s="106"/>
    </row>
    <row r="136" spans="1:1" ht="17.25" customHeight="1" x14ac:dyDescent="0.25">
      <c r="A136" s="106"/>
    </row>
    <row r="137" spans="1:1" ht="17.25" customHeight="1" x14ac:dyDescent="0.25">
      <c r="A137" s="106"/>
    </row>
  </sheetData>
  <pageMargins left="0.7" right="0.7" top="0.75" bottom="0.75" header="0.3" footer="0.3"/>
  <pageSetup paperSize="5" scale="2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7635-0C4E-453C-83AC-42D0BB43502F}">
  <sheetPr>
    <pageSetUpPr fitToPage="1"/>
  </sheetPr>
  <dimension ref="A1:AJ137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7.25" customHeight="1" x14ac:dyDescent="0.25"/>
  <cols>
    <col min="1" max="1" width="12" style="105" customWidth="1"/>
    <col min="2" max="2" width="16.85546875" style="105" customWidth="1"/>
    <col min="3" max="3" width="21" style="105" customWidth="1"/>
    <col min="4" max="4" width="18.28515625" style="105" customWidth="1"/>
    <col min="5" max="5" width="18.140625" style="105" customWidth="1"/>
    <col min="6" max="6" width="16" style="105" customWidth="1"/>
    <col min="7" max="7" width="18.140625" style="105" customWidth="1"/>
    <col min="8" max="8" width="18.42578125" style="105" customWidth="1"/>
    <col min="9" max="9" width="18.28515625" style="105" customWidth="1"/>
    <col min="10" max="10" width="19.7109375" style="105" customWidth="1"/>
    <col min="11" max="11" width="18.7109375" style="105" customWidth="1"/>
    <col min="12" max="12" width="17.28515625" style="105" customWidth="1"/>
    <col min="13" max="14" width="18.5703125" style="105" customWidth="1"/>
    <col min="15" max="15" width="18" style="105" customWidth="1"/>
    <col min="16" max="16" width="15.5703125" style="105" customWidth="1"/>
    <col min="17" max="17" width="18.140625" style="105" customWidth="1"/>
    <col min="18" max="18" width="18" style="105" customWidth="1"/>
    <col min="19" max="19" width="16.5703125" style="105" customWidth="1"/>
    <col min="20" max="20" width="18" style="105" customWidth="1"/>
    <col min="21" max="21" width="18.140625" style="105" customWidth="1"/>
    <col min="22" max="22" width="18.42578125" style="105" customWidth="1"/>
    <col min="23" max="23" width="18.5703125" style="105" customWidth="1"/>
    <col min="24" max="24" width="17.28515625" style="105" customWidth="1"/>
    <col min="25" max="26" width="18.140625" style="105" customWidth="1"/>
    <col min="27" max="27" width="18.85546875" style="105" customWidth="1"/>
    <col min="28" max="28" width="20" style="105" customWidth="1"/>
    <col min="29" max="29" width="19" style="105" customWidth="1"/>
    <col min="30" max="30" width="18.5703125" style="105" customWidth="1"/>
    <col min="31" max="31" width="19" style="105" customWidth="1"/>
    <col min="32" max="34" width="18.5703125" style="72" customWidth="1"/>
    <col min="35" max="16384" width="9.140625" style="105"/>
  </cols>
  <sheetData>
    <row r="1" spans="1:34" ht="17.25" customHeight="1" x14ac:dyDescent="0.25">
      <c r="A1" s="151" t="s">
        <v>185</v>
      </c>
      <c r="B1" s="151" t="s">
        <v>115</v>
      </c>
      <c r="C1" s="151" t="s">
        <v>117</v>
      </c>
      <c r="D1" s="154" t="s">
        <v>119</v>
      </c>
      <c r="E1" s="151" t="s">
        <v>121</v>
      </c>
      <c r="F1" s="151" t="s">
        <v>123</v>
      </c>
      <c r="G1" s="151" t="s">
        <v>125</v>
      </c>
      <c r="H1" s="151" t="s">
        <v>127</v>
      </c>
      <c r="I1" s="153" t="s">
        <v>129</v>
      </c>
      <c r="J1" s="151" t="s">
        <v>131</v>
      </c>
      <c r="K1" s="153" t="s">
        <v>186</v>
      </c>
      <c r="L1" s="152" t="s">
        <v>135</v>
      </c>
      <c r="M1" s="151" t="s">
        <v>187</v>
      </c>
      <c r="N1" s="151" t="s">
        <v>139</v>
      </c>
      <c r="O1" s="151" t="s">
        <v>141</v>
      </c>
      <c r="P1" s="151" t="s">
        <v>143</v>
      </c>
      <c r="Q1" s="151" t="s">
        <v>144</v>
      </c>
      <c r="R1" s="151" t="s">
        <v>146</v>
      </c>
      <c r="S1" s="151" t="s">
        <v>148</v>
      </c>
      <c r="T1" s="151" t="s">
        <v>150</v>
      </c>
      <c r="U1" s="151" t="s">
        <v>152</v>
      </c>
      <c r="V1" s="151" t="s">
        <v>154</v>
      </c>
      <c r="W1" s="151" t="s">
        <v>188</v>
      </c>
      <c r="X1" s="151" t="s">
        <v>158</v>
      </c>
      <c r="Y1" s="151" t="s">
        <v>160</v>
      </c>
      <c r="Z1" s="151" t="s">
        <v>162</v>
      </c>
      <c r="AA1" s="151" t="s">
        <v>164</v>
      </c>
      <c r="AB1" s="151" t="s">
        <v>166</v>
      </c>
      <c r="AC1" s="151" t="s">
        <v>189</v>
      </c>
      <c r="AD1" s="151" t="s">
        <v>190</v>
      </c>
      <c r="AE1" s="151" t="s">
        <v>174</v>
      </c>
      <c r="AF1" s="71" t="s">
        <v>176</v>
      </c>
      <c r="AG1" s="71" t="s">
        <v>178</v>
      </c>
      <c r="AH1" s="71" t="s">
        <v>180</v>
      </c>
    </row>
    <row r="2" spans="1:34" ht="17.25" customHeight="1" x14ac:dyDescent="0.25">
      <c r="A2" s="150" t="s">
        <v>191</v>
      </c>
      <c r="B2" s="139">
        <v>78694.83</v>
      </c>
      <c r="C2" s="139">
        <v>1556.73</v>
      </c>
      <c r="D2" s="139">
        <v>59903.77</v>
      </c>
      <c r="E2" s="173">
        <v>579.25</v>
      </c>
      <c r="F2" s="139">
        <v>28478.639999999999</v>
      </c>
      <c r="G2" s="139">
        <v>2612.17</v>
      </c>
      <c r="H2" s="139">
        <v>45990.85</v>
      </c>
      <c r="I2" s="139">
        <v>12727.96</v>
      </c>
      <c r="J2" s="139">
        <v>71664.91</v>
      </c>
      <c r="K2" s="139">
        <v>3392.08</v>
      </c>
      <c r="L2" s="139">
        <v>19276.37</v>
      </c>
      <c r="M2" s="139">
        <v>0</v>
      </c>
      <c r="N2" s="139">
        <v>7859.37</v>
      </c>
      <c r="O2" s="139">
        <v>658.93</v>
      </c>
      <c r="P2" s="139">
        <v>0</v>
      </c>
      <c r="Q2" s="139">
        <v>596.04</v>
      </c>
      <c r="R2" s="139">
        <v>13450</v>
      </c>
      <c r="S2" s="139">
        <v>23431.84</v>
      </c>
      <c r="T2" s="139">
        <v>79888.87</v>
      </c>
      <c r="U2" s="139">
        <v>4029.86</v>
      </c>
      <c r="V2" s="139">
        <v>4795.5600000000004</v>
      </c>
      <c r="W2" s="139">
        <v>17114.560000000001</v>
      </c>
      <c r="X2" s="139">
        <v>30902.48</v>
      </c>
      <c r="Y2" s="139">
        <v>10030.6</v>
      </c>
      <c r="Z2" s="139">
        <v>24027.4</v>
      </c>
      <c r="AA2" s="139">
        <v>18279.16</v>
      </c>
      <c r="AB2" s="139">
        <v>35845.040000000001</v>
      </c>
      <c r="AC2" s="139">
        <v>69873.02</v>
      </c>
      <c r="AD2" s="139">
        <v>1049.82</v>
      </c>
      <c r="AE2" s="111">
        <v>7601.27</v>
      </c>
      <c r="AF2" s="183">
        <v>1491</v>
      </c>
      <c r="AG2" s="183">
        <v>938.91</v>
      </c>
      <c r="AH2" s="183">
        <v>395.29</v>
      </c>
    </row>
    <row r="3" spans="1:34" ht="17.25" customHeight="1" x14ac:dyDescent="0.25">
      <c r="A3" s="150" t="s">
        <v>192</v>
      </c>
      <c r="B3" s="139">
        <v>70312.479999999996</v>
      </c>
      <c r="C3" s="139">
        <v>1478.1385</v>
      </c>
      <c r="D3" s="139">
        <v>10334.77</v>
      </c>
      <c r="E3" s="139">
        <v>176.42</v>
      </c>
      <c r="F3" s="139">
        <v>23329.27</v>
      </c>
      <c r="G3" s="139">
        <v>4140.3599999999997</v>
      </c>
      <c r="H3" s="139">
        <v>5061.41</v>
      </c>
      <c r="I3" s="139">
        <v>1571.42</v>
      </c>
      <c r="J3" s="139">
        <v>61044.72</v>
      </c>
      <c r="K3" s="139">
        <v>1153.04</v>
      </c>
      <c r="L3" s="139">
        <v>1727.2</v>
      </c>
      <c r="M3" s="139">
        <v>0</v>
      </c>
      <c r="N3" s="139">
        <v>13691.04</v>
      </c>
      <c r="O3" s="139">
        <v>42258.87</v>
      </c>
      <c r="P3" s="139">
        <v>21995.43</v>
      </c>
      <c r="Q3" s="139">
        <v>612.79</v>
      </c>
      <c r="R3" s="139">
        <v>13253.41</v>
      </c>
      <c r="S3" s="139">
        <v>3851.04</v>
      </c>
      <c r="T3" s="139">
        <v>33526.03</v>
      </c>
      <c r="U3" s="139">
        <v>1553.42</v>
      </c>
      <c r="V3" s="139">
        <v>5252.87</v>
      </c>
      <c r="W3" s="139">
        <v>8532.64</v>
      </c>
      <c r="X3" s="139">
        <v>23971.63</v>
      </c>
      <c r="Y3" s="139">
        <v>13.29</v>
      </c>
      <c r="Z3" s="139">
        <v>2312.09</v>
      </c>
      <c r="AA3" s="139">
        <v>29353.25</v>
      </c>
      <c r="AB3" s="139">
        <v>9654.2900000000009</v>
      </c>
      <c r="AC3" s="139">
        <v>29928.37</v>
      </c>
      <c r="AD3" s="139">
        <v>89.93</v>
      </c>
      <c r="AE3" s="111">
        <v>235.77</v>
      </c>
      <c r="AF3" s="181">
        <v>0</v>
      </c>
      <c r="AG3" s="181">
        <v>43.3</v>
      </c>
      <c r="AH3" s="181">
        <v>1.04</v>
      </c>
    </row>
    <row r="4" spans="1:34" ht="17.25" customHeight="1" thickBot="1" x14ac:dyDescent="0.3">
      <c r="A4" s="149" t="s">
        <v>193</v>
      </c>
      <c r="B4" s="136">
        <v>760.54</v>
      </c>
      <c r="C4" s="136">
        <v>995.21</v>
      </c>
      <c r="D4" s="136">
        <v>0</v>
      </c>
      <c r="E4" s="136">
        <v>1133.55</v>
      </c>
      <c r="F4" s="136">
        <v>102174.34</v>
      </c>
      <c r="G4" s="136">
        <v>1054.79</v>
      </c>
      <c r="H4" s="136">
        <v>38321.620000000003</v>
      </c>
      <c r="I4" s="136">
        <v>2781.48</v>
      </c>
      <c r="J4" s="136">
        <v>20537.57</v>
      </c>
      <c r="K4" s="136">
        <v>9867.98</v>
      </c>
      <c r="L4" s="136">
        <v>3308.56</v>
      </c>
      <c r="M4" s="136">
        <v>0</v>
      </c>
      <c r="N4" s="136">
        <v>5917.96</v>
      </c>
      <c r="O4" s="136">
        <v>447.76</v>
      </c>
      <c r="P4" s="136">
        <v>0</v>
      </c>
      <c r="Q4" s="136">
        <v>22743.79</v>
      </c>
      <c r="R4" s="136">
        <v>28385.200000000001</v>
      </c>
      <c r="S4" s="136">
        <v>7593.16</v>
      </c>
      <c r="T4" s="136">
        <v>31497.81</v>
      </c>
      <c r="U4" s="136">
        <v>1665.78</v>
      </c>
      <c r="V4" s="136">
        <v>3022.7</v>
      </c>
      <c r="W4" s="136">
        <v>14719.65</v>
      </c>
      <c r="X4" s="136">
        <v>42012.35</v>
      </c>
      <c r="Y4" s="136">
        <v>17408.29</v>
      </c>
      <c r="Z4" s="136">
        <v>45826.52</v>
      </c>
      <c r="AA4" s="136">
        <v>51761</v>
      </c>
      <c r="AB4" s="136">
        <v>3462.78</v>
      </c>
      <c r="AC4" s="136">
        <v>25422.53</v>
      </c>
      <c r="AD4" s="136">
        <v>947.38</v>
      </c>
      <c r="AE4" s="108">
        <v>129.16999999999999</v>
      </c>
      <c r="AF4" s="182">
        <v>0</v>
      </c>
      <c r="AG4" s="182">
        <v>3.22</v>
      </c>
      <c r="AH4" s="182">
        <v>96.51</v>
      </c>
    </row>
    <row r="5" spans="1:34" ht="17.25" customHeight="1" x14ac:dyDescent="0.25">
      <c r="A5" s="148" t="s">
        <v>194</v>
      </c>
      <c r="B5" s="147">
        <v>70410.77</v>
      </c>
      <c r="C5" s="147">
        <v>850.46</v>
      </c>
      <c r="D5" s="147">
        <v>0</v>
      </c>
      <c r="E5" s="147">
        <v>1672.55</v>
      </c>
      <c r="F5" s="147">
        <v>272399.57</v>
      </c>
      <c r="G5" s="147">
        <v>2735.83</v>
      </c>
      <c r="H5" s="147">
        <v>13610.98</v>
      </c>
      <c r="I5" s="147">
        <v>4235.8100000000004</v>
      </c>
      <c r="J5" s="147">
        <v>56523.360000000001</v>
      </c>
      <c r="K5" s="147">
        <v>4019.24</v>
      </c>
      <c r="L5" s="147">
        <v>17000.099999999999</v>
      </c>
      <c r="M5" s="147">
        <v>0</v>
      </c>
      <c r="N5" s="147">
        <v>21369.11</v>
      </c>
      <c r="O5" s="147">
        <v>307.92</v>
      </c>
      <c r="P5" s="147">
        <v>218.08</v>
      </c>
      <c r="Q5" s="147">
        <v>13058.28</v>
      </c>
      <c r="R5" s="147">
        <v>69298.2</v>
      </c>
      <c r="S5" s="147">
        <v>340.94</v>
      </c>
      <c r="T5" s="147">
        <v>35957.82</v>
      </c>
      <c r="U5" s="147">
        <v>2090.79</v>
      </c>
      <c r="V5" s="147">
        <v>2443.96</v>
      </c>
      <c r="W5" s="147">
        <v>17974.080000000002</v>
      </c>
      <c r="X5" s="147">
        <v>118772.08</v>
      </c>
      <c r="Y5" s="147">
        <v>69833.289999999994</v>
      </c>
      <c r="Z5" s="147">
        <v>159954.39000000001</v>
      </c>
      <c r="AA5" s="147">
        <v>106285.72</v>
      </c>
      <c r="AB5" s="147">
        <v>2274.6</v>
      </c>
      <c r="AC5" s="147">
        <v>30314.15</v>
      </c>
      <c r="AD5" s="147">
        <v>754.14</v>
      </c>
      <c r="AE5" s="91">
        <v>84.17</v>
      </c>
      <c r="AF5" s="180">
        <v>150</v>
      </c>
      <c r="AG5" s="180">
        <v>30.84</v>
      </c>
      <c r="AH5" s="180">
        <v>162.81</v>
      </c>
    </row>
    <row r="6" spans="1:34" ht="17.25" customHeight="1" x14ac:dyDescent="0.25">
      <c r="A6" s="132" t="s">
        <v>195</v>
      </c>
      <c r="B6" s="139">
        <v>48489.883999999998</v>
      </c>
      <c r="C6" s="139">
        <v>8346.19</v>
      </c>
      <c r="D6" s="139">
        <v>0</v>
      </c>
      <c r="E6" s="139">
        <v>2252.88</v>
      </c>
      <c r="F6" s="139">
        <v>468267.69</v>
      </c>
      <c r="G6" s="139">
        <v>5730.52</v>
      </c>
      <c r="H6" s="139">
        <v>18625.740000000002</v>
      </c>
      <c r="I6" s="139">
        <v>45952.959999999999</v>
      </c>
      <c r="J6" s="139">
        <v>150</v>
      </c>
      <c r="K6" s="139">
        <v>4140.46</v>
      </c>
      <c r="L6" s="139">
        <v>5659.5</v>
      </c>
      <c r="M6" s="139">
        <v>0</v>
      </c>
      <c r="N6" s="139">
        <v>27931.52</v>
      </c>
      <c r="O6" s="139">
        <v>769.59</v>
      </c>
      <c r="P6" s="139">
        <v>0</v>
      </c>
      <c r="Q6" s="139">
        <v>2454.21</v>
      </c>
      <c r="R6" s="139">
        <v>144128</v>
      </c>
      <c r="S6" s="139">
        <v>3679</v>
      </c>
      <c r="T6" s="139">
        <v>6520.86</v>
      </c>
      <c r="U6" s="139">
        <v>27173.07</v>
      </c>
      <c r="V6" s="139">
        <v>7620.94</v>
      </c>
      <c r="W6" s="139">
        <v>58155.78</v>
      </c>
      <c r="X6" s="139">
        <v>112707.43</v>
      </c>
      <c r="Y6" s="139">
        <v>115084.75</v>
      </c>
      <c r="Z6" s="139">
        <v>303130.42</v>
      </c>
      <c r="AA6" s="139">
        <v>167143.46</v>
      </c>
      <c r="AB6" s="139">
        <v>3473.31</v>
      </c>
      <c r="AC6" s="139">
        <v>49842.9</v>
      </c>
      <c r="AD6" s="139">
        <v>659.62</v>
      </c>
      <c r="AE6" s="111">
        <v>227.51</v>
      </c>
      <c r="AF6" s="181">
        <v>17911</v>
      </c>
      <c r="AG6" s="181">
        <v>50.47</v>
      </c>
      <c r="AH6" s="181">
        <v>288.83999999999997</v>
      </c>
    </row>
    <row r="7" spans="1:34" ht="17.25" customHeight="1" thickBot="1" x14ac:dyDescent="0.3">
      <c r="A7" s="146" t="s">
        <v>196</v>
      </c>
      <c r="B7" s="136">
        <v>21650.16</v>
      </c>
      <c r="C7" s="136">
        <v>834.28</v>
      </c>
      <c r="D7" s="136">
        <v>3211.79</v>
      </c>
      <c r="E7" s="136">
        <v>2353.8000000000002</v>
      </c>
      <c r="F7" s="136">
        <v>470441.2</v>
      </c>
      <c r="G7" s="136">
        <v>3876.66</v>
      </c>
      <c r="H7" s="136">
        <v>50029.27</v>
      </c>
      <c r="I7" s="136">
        <v>3845.96</v>
      </c>
      <c r="J7" s="136">
        <v>60</v>
      </c>
      <c r="K7" s="136">
        <v>5008.21</v>
      </c>
      <c r="L7" s="136">
        <v>11309.28</v>
      </c>
      <c r="M7" s="136">
        <v>0</v>
      </c>
      <c r="N7" s="136">
        <v>4185.1899999999996</v>
      </c>
      <c r="O7" s="136">
        <v>1342.68</v>
      </c>
      <c r="P7" s="136">
        <v>0</v>
      </c>
      <c r="Q7" s="136">
        <v>3143.47</v>
      </c>
      <c r="R7" s="136">
        <v>166362.29999999999</v>
      </c>
      <c r="S7" s="136">
        <v>4103.5</v>
      </c>
      <c r="T7" s="136">
        <v>6034.6</v>
      </c>
      <c r="U7" s="136">
        <v>2579.5300000000002</v>
      </c>
      <c r="V7" s="136">
        <v>2464.04</v>
      </c>
      <c r="W7" s="136">
        <v>71390.289999999994</v>
      </c>
      <c r="X7" s="136">
        <v>157733.69</v>
      </c>
      <c r="Y7" s="136">
        <v>130010</v>
      </c>
      <c r="Z7" s="136">
        <v>284822.69</v>
      </c>
      <c r="AA7" s="136">
        <v>132147.54999999999</v>
      </c>
      <c r="AB7" s="136">
        <v>6123.23</v>
      </c>
      <c r="AC7" s="136">
        <v>1043</v>
      </c>
      <c r="AD7" s="136">
        <v>675.01</v>
      </c>
      <c r="AE7" s="164">
        <v>2447.2199999999998</v>
      </c>
      <c r="AF7" s="182">
        <v>1041</v>
      </c>
      <c r="AG7" s="182">
        <v>323.14999999999998</v>
      </c>
      <c r="AH7" s="182">
        <v>21.57</v>
      </c>
    </row>
    <row r="8" spans="1:34" ht="17.25" customHeight="1" x14ac:dyDescent="0.25">
      <c r="A8" s="145" t="s">
        <v>197</v>
      </c>
      <c r="B8" s="142">
        <v>89004.26</v>
      </c>
      <c r="C8" s="142">
        <v>11369.08</v>
      </c>
      <c r="D8" s="142">
        <v>21085.4</v>
      </c>
      <c r="E8" s="142">
        <v>6127</v>
      </c>
      <c r="F8" s="142">
        <v>452766.92</v>
      </c>
      <c r="G8" s="142">
        <v>7320.86</v>
      </c>
      <c r="H8" s="142">
        <v>79249.06</v>
      </c>
      <c r="I8" s="142">
        <v>14270.72</v>
      </c>
      <c r="J8" s="142">
        <v>47930.6</v>
      </c>
      <c r="K8" s="142">
        <v>9462.3799999999992</v>
      </c>
      <c r="L8" s="142">
        <v>31732.5</v>
      </c>
      <c r="M8" s="142">
        <v>0</v>
      </c>
      <c r="N8" s="142">
        <v>8150.54</v>
      </c>
      <c r="O8" s="142">
        <v>4107.91</v>
      </c>
      <c r="P8" s="142">
        <v>0</v>
      </c>
      <c r="Q8" s="142">
        <v>14851.32</v>
      </c>
      <c r="R8" s="142">
        <v>161757.20000000001</v>
      </c>
      <c r="S8" s="142">
        <v>11162.35</v>
      </c>
      <c r="T8" s="142">
        <v>31072.34</v>
      </c>
      <c r="U8" s="142">
        <v>26305.02</v>
      </c>
      <c r="V8" s="142">
        <v>21813.71</v>
      </c>
      <c r="W8" s="142">
        <v>76398.759999999995</v>
      </c>
      <c r="X8" s="142">
        <v>136240.73000000001</v>
      </c>
      <c r="Y8" s="142">
        <v>104833.29</v>
      </c>
      <c r="Z8" s="142">
        <v>236719.37</v>
      </c>
      <c r="AA8" s="142">
        <v>105749</v>
      </c>
      <c r="AB8" s="142">
        <v>33404.53</v>
      </c>
      <c r="AC8" s="142">
        <v>20878.46</v>
      </c>
      <c r="AD8" s="142">
        <v>3090.05</v>
      </c>
      <c r="AE8" s="166">
        <v>9189.41</v>
      </c>
      <c r="AF8" s="180">
        <v>22201</v>
      </c>
      <c r="AG8" s="180">
        <v>1255.73</v>
      </c>
      <c r="AH8" s="180">
        <v>961.87</v>
      </c>
    </row>
    <row r="9" spans="1:34" ht="17.25" customHeight="1" x14ac:dyDescent="0.25">
      <c r="A9" s="131" t="s">
        <v>198</v>
      </c>
      <c r="B9" s="139">
        <v>26821.91</v>
      </c>
      <c r="C9" s="139">
        <v>25405.73</v>
      </c>
      <c r="D9" s="139">
        <v>14107.6</v>
      </c>
      <c r="E9" s="139">
        <v>9209.65</v>
      </c>
      <c r="F9" s="139">
        <v>454712.91</v>
      </c>
      <c r="G9" s="139">
        <v>21353.54</v>
      </c>
      <c r="H9" s="139">
        <v>72535.53</v>
      </c>
      <c r="I9" s="139">
        <v>6461.51</v>
      </c>
      <c r="J9" s="139">
        <v>32273.51</v>
      </c>
      <c r="K9" s="139">
        <v>6405.39</v>
      </c>
      <c r="L9" s="139">
        <v>4747.4690000000001</v>
      </c>
      <c r="M9" s="139">
        <v>0</v>
      </c>
      <c r="N9" s="139">
        <v>18938.310000000001</v>
      </c>
      <c r="O9" s="139">
        <v>2804.73</v>
      </c>
      <c r="P9" s="139">
        <v>0</v>
      </c>
      <c r="Q9" s="139">
        <v>7277.72</v>
      </c>
      <c r="R9" s="139">
        <v>144236.4</v>
      </c>
      <c r="S9" s="139">
        <v>42131.5</v>
      </c>
      <c r="T9" s="139">
        <v>39985.32</v>
      </c>
      <c r="U9" s="139">
        <v>13483.12</v>
      </c>
      <c r="V9" s="139">
        <v>11935.24</v>
      </c>
      <c r="W9" s="139">
        <v>11944.8</v>
      </c>
      <c r="X9" s="139">
        <v>55727.9</v>
      </c>
      <c r="Y9" s="139">
        <v>100003.29</v>
      </c>
      <c r="Z9" s="139">
        <v>222686.41</v>
      </c>
      <c r="AA9" s="139">
        <v>37040.910000000003</v>
      </c>
      <c r="AB9" s="139">
        <v>73229.3</v>
      </c>
      <c r="AC9" s="139">
        <v>24828.720000000001</v>
      </c>
      <c r="AD9" s="139">
        <v>13959.32</v>
      </c>
      <c r="AE9" s="165">
        <v>3090.71</v>
      </c>
      <c r="AF9" s="181">
        <v>647</v>
      </c>
      <c r="AG9" s="181">
        <v>415.69</v>
      </c>
      <c r="AH9" s="181">
        <v>696.89</v>
      </c>
    </row>
    <row r="10" spans="1:34" ht="17.25" customHeight="1" thickBot="1" x14ac:dyDescent="0.3">
      <c r="A10" s="144" t="s">
        <v>199</v>
      </c>
      <c r="B10" s="136">
        <v>151415.95000000001</v>
      </c>
      <c r="C10" s="136">
        <v>12224.39</v>
      </c>
      <c r="D10" s="136">
        <v>115260.55</v>
      </c>
      <c r="E10" s="136">
        <v>7984.14</v>
      </c>
      <c r="F10" s="136">
        <v>379058.19</v>
      </c>
      <c r="G10" s="136">
        <v>8784</v>
      </c>
      <c r="H10" s="136">
        <v>62116</v>
      </c>
      <c r="I10" s="136">
        <v>7893.2</v>
      </c>
      <c r="J10" s="136">
        <v>84139.91</v>
      </c>
      <c r="K10" s="136">
        <v>5670.63</v>
      </c>
      <c r="L10" s="136">
        <v>8997.27</v>
      </c>
      <c r="M10" s="136">
        <v>0</v>
      </c>
      <c r="N10" s="136">
        <v>15757.63</v>
      </c>
      <c r="O10" s="136">
        <v>4779.71</v>
      </c>
      <c r="P10" s="136">
        <v>0</v>
      </c>
      <c r="Q10" s="136">
        <v>9414.09</v>
      </c>
      <c r="R10" s="136">
        <v>116818.2</v>
      </c>
      <c r="S10" s="136">
        <v>28573.62</v>
      </c>
      <c r="T10" s="136">
        <v>62297.59</v>
      </c>
      <c r="U10" s="136">
        <v>12749.27</v>
      </c>
      <c r="V10" s="136">
        <v>7152.09</v>
      </c>
      <c r="W10" s="136">
        <v>8633.65</v>
      </c>
      <c r="X10" s="136">
        <v>106996.05</v>
      </c>
      <c r="Y10" s="136">
        <v>114897.47</v>
      </c>
      <c r="Z10" s="136">
        <v>182743.37</v>
      </c>
      <c r="AA10" s="136">
        <v>205899.23</v>
      </c>
      <c r="AB10" s="136">
        <v>41296</v>
      </c>
      <c r="AC10" s="136">
        <v>19032.810000000001</v>
      </c>
      <c r="AD10" s="136">
        <v>8784.2800000000007</v>
      </c>
      <c r="AE10" s="164">
        <v>6160.65</v>
      </c>
      <c r="AF10" s="182">
        <v>2709</v>
      </c>
      <c r="AG10" s="182">
        <v>856.6</v>
      </c>
      <c r="AH10" s="182">
        <v>1050.73</v>
      </c>
    </row>
    <row r="11" spans="1:34" ht="17.25" customHeight="1" x14ac:dyDescent="0.25">
      <c r="A11" s="143" t="s">
        <v>200</v>
      </c>
      <c r="B11" s="142">
        <v>39765.61</v>
      </c>
      <c r="C11" s="142">
        <v>2335.89</v>
      </c>
      <c r="D11" s="142">
        <v>28549.38</v>
      </c>
      <c r="E11" s="142">
        <v>6343.68</v>
      </c>
      <c r="F11" s="142">
        <v>341096.98</v>
      </c>
      <c r="G11" s="142">
        <v>4967.5200000000004</v>
      </c>
      <c r="H11" s="142">
        <v>62735.7</v>
      </c>
      <c r="I11" s="142">
        <v>9928.44</v>
      </c>
      <c r="J11" s="142">
        <v>25611.21</v>
      </c>
      <c r="K11" s="142">
        <v>8931.8799999999992</v>
      </c>
      <c r="L11" s="142">
        <v>26915.85</v>
      </c>
      <c r="M11" s="142">
        <v>0</v>
      </c>
      <c r="N11" s="142">
        <v>8131.47</v>
      </c>
      <c r="O11" s="142">
        <v>2189.73</v>
      </c>
      <c r="P11" s="142">
        <v>0</v>
      </c>
      <c r="Q11" s="142">
        <v>3814.07</v>
      </c>
      <c r="R11" s="142">
        <v>88455</v>
      </c>
      <c r="S11" s="142">
        <v>22424.92</v>
      </c>
      <c r="T11" s="142">
        <v>38103.06</v>
      </c>
      <c r="U11" s="142">
        <v>7284.29</v>
      </c>
      <c r="V11" s="142">
        <v>4139.6499999999996</v>
      </c>
      <c r="W11" s="142">
        <v>1738.55</v>
      </c>
      <c r="X11" s="142">
        <v>76520.95</v>
      </c>
      <c r="Y11" s="142">
        <v>104998.29</v>
      </c>
      <c r="Z11" s="142">
        <v>132167.73000000001</v>
      </c>
      <c r="AA11" s="142">
        <v>246739.29</v>
      </c>
      <c r="AB11" s="142">
        <v>21420.36</v>
      </c>
      <c r="AC11" s="142">
        <v>37442.97</v>
      </c>
      <c r="AD11" s="142">
        <v>3250.86</v>
      </c>
      <c r="AE11" s="166">
        <v>4250.79</v>
      </c>
      <c r="AF11" s="180">
        <v>3855</v>
      </c>
      <c r="AG11" s="180">
        <v>2719.72</v>
      </c>
      <c r="AH11" s="180">
        <v>986.09</v>
      </c>
    </row>
    <row r="12" spans="1:34" ht="17.25" customHeight="1" x14ac:dyDescent="0.25">
      <c r="A12" s="141" t="s">
        <v>201</v>
      </c>
      <c r="B12" s="140">
        <v>3995.95</v>
      </c>
      <c r="C12" s="140">
        <v>1907.53</v>
      </c>
      <c r="D12" s="139">
        <v>25034.99</v>
      </c>
      <c r="E12" s="139">
        <v>4041.27</v>
      </c>
      <c r="F12" s="139">
        <v>197837.55</v>
      </c>
      <c r="G12" s="139">
        <v>4801.78</v>
      </c>
      <c r="H12" s="139">
        <v>43932.62</v>
      </c>
      <c r="I12" s="139">
        <v>5986.19</v>
      </c>
      <c r="J12" s="139">
        <v>57474.32</v>
      </c>
      <c r="K12" s="139">
        <v>3681.06</v>
      </c>
      <c r="L12" s="139">
        <v>17568.835500000001</v>
      </c>
      <c r="M12" s="139">
        <v>0</v>
      </c>
      <c r="N12" s="139">
        <v>9252.7800000000007</v>
      </c>
      <c r="O12" s="139">
        <v>898.93</v>
      </c>
      <c r="P12" s="139">
        <v>0</v>
      </c>
      <c r="Q12" s="139">
        <v>1275.52</v>
      </c>
      <c r="R12" s="139">
        <v>54626.2</v>
      </c>
      <c r="S12" s="139">
        <v>12594.43</v>
      </c>
      <c r="T12" s="139">
        <v>56917.99</v>
      </c>
      <c r="U12" s="139">
        <v>6619.32</v>
      </c>
      <c r="V12" s="139">
        <v>5289.88</v>
      </c>
      <c r="W12" s="139">
        <v>3639.38</v>
      </c>
      <c r="X12" s="139">
        <v>98978.36</v>
      </c>
      <c r="Y12" s="139">
        <v>70008.289999999994</v>
      </c>
      <c r="Z12" s="139">
        <v>150839.01</v>
      </c>
      <c r="AA12" s="139">
        <v>152803.5</v>
      </c>
      <c r="AB12" s="139">
        <v>2321.77</v>
      </c>
      <c r="AC12" s="139">
        <v>37761.839999999997</v>
      </c>
      <c r="AD12" s="139">
        <v>29084.87</v>
      </c>
      <c r="AE12" s="165">
        <v>529.73</v>
      </c>
      <c r="AF12" s="181">
        <v>0</v>
      </c>
      <c r="AG12" s="181">
        <v>37.130000000000003</v>
      </c>
      <c r="AH12" s="181">
        <v>30.71</v>
      </c>
    </row>
    <row r="13" spans="1:34" ht="17.25" customHeight="1" thickBot="1" x14ac:dyDescent="0.3">
      <c r="A13" s="130" t="s">
        <v>202</v>
      </c>
      <c r="B13" s="136">
        <v>89833.47</v>
      </c>
      <c r="C13" s="138">
        <v>1112.79</v>
      </c>
      <c r="D13" s="138">
        <v>28118.42</v>
      </c>
      <c r="E13" s="136">
        <v>2716.74</v>
      </c>
      <c r="F13" s="136">
        <v>27722.32</v>
      </c>
      <c r="G13" s="136">
        <v>25468.14</v>
      </c>
      <c r="H13" s="136">
        <v>31128.400000000001</v>
      </c>
      <c r="I13" s="136">
        <v>9243.51</v>
      </c>
      <c r="J13" s="137">
        <v>23013.86</v>
      </c>
      <c r="K13" s="136">
        <v>7571.29</v>
      </c>
      <c r="L13" s="136">
        <v>4492.57</v>
      </c>
      <c r="M13" s="136">
        <v>0</v>
      </c>
      <c r="N13" s="136">
        <v>63090.55</v>
      </c>
      <c r="O13" s="136">
        <v>228.75</v>
      </c>
      <c r="P13" s="136">
        <v>0</v>
      </c>
      <c r="Q13" s="136">
        <v>894.29</v>
      </c>
      <c r="R13" s="136">
        <v>9050.5</v>
      </c>
      <c r="S13" s="136">
        <v>6876.11</v>
      </c>
      <c r="T13" s="136">
        <v>13839.72</v>
      </c>
      <c r="U13" s="136">
        <v>6463.59</v>
      </c>
      <c r="V13" s="136">
        <v>4501.53</v>
      </c>
      <c r="W13" s="136">
        <v>0</v>
      </c>
      <c r="X13" s="136">
        <v>80445</v>
      </c>
      <c r="Y13" s="136">
        <v>10000</v>
      </c>
      <c r="Z13" s="136">
        <v>1007.43</v>
      </c>
      <c r="AA13" s="136">
        <v>37858.199999999997</v>
      </c>
      <c r="AB13" s="136">
        <v>20656.59</v>
      </c>
      <c r="AC13" s="136">
        <v>12080.14</v>
      </c>
      <c r="AD13" s="136">
        <v>2126.48</v>
      </c>
      <c r="AE13" s="164">
        <v>10086.299999999999</v>
      </c>
      <c r="AF13" s="182">
        <v>1641</v>
      </c>
      <c r="AG13" s="182">
        <v>401.89</v>
      </c>
      <c r="AH13" s="182">
        <v>595.33000000000004</v>
      </c>
    </row>
    <row r="14" spans="1:34" ht="17.25" customHeight="1" thickBot="1" x14ac:dyDescent="0.3">
      <c r="A14" s="135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5"/>
      <c r="AF14" s="184"/>
      <c r="AG14" s="184"/>
      <c r="AH14" s="184"/>
    </row>
    <row r="15" spans="1:34" ht="17.25" customHeight="1" x14ac:dyDescent="0.25">
      <c r="A15" s="133" t="s">
        <v>203</v>
      </c>
      <c r="B15" s="91">
        <f>SUM(B2:B4)</f>
        <v>149767.85</v>
      </c>
      <c r="C15" s="91">
        <f>SUM(C2:C4)</f>
        <v>4030.0785000000001</v>
      </c>
      <c r="D15" s="91">
        <f t="shared" ref="D15:M15" si="0">SUM(D2:D4)</f>
        <v>70238.539999999994</v>
      </c>
      <c r="E15" s="91">
        <f t="shared" ref="E15:L15" si="1">SUM(E2:E4)</f>
        <v>1889.2199999999998</v>
      </c>
      <c r="F15" s="91">
        <f t="shared" si="1"/>
        <v>153982.25</v>
      </c>
      <c r="G15" s="91">
        <f t="shared" si="1"/>
        <v>7807.32</v>
      </c>
      <c r="H15" s="91">
        <f t="shared" si="1"/>
        <v>89373.88</v>
      </c>
      <c r="I15" s="91">
        <f t="shared" si="1"/>
        <v>17080.86</v>
      </c>
      <c r="J15" s="91">
        <f t="shared" si="1"/>
        <v>153247.20000000001</v>
      </c>
      <c r="K15" s="91">
        <f t="shared" si="1"/>
        <v>14413.099999999999</v>
      </c>
      <c r="L15" s="91">
        <f t="shared" si="1"/>
        <v>24312.13</v>
      </c>
      <c r="M15" s="91">
        <f t="shared" si="0"/>
        <v>0</v>
      </c>
      <c r="N15" s="91">
        <f>SUM(N2:N4)</f>
        <v>27468.37</v>
      </c>
      <c r="O15" s="91">
        <f>SUM(O2:O4)</f>
        <v>43365.560000000005</v>
      </c>
      <c r="P15" s="124" t="s">
        <v>168</v>
      </c>
      <c r="Q15" s="91">
        <f t="shared" ref="Q15:AD15" si="2">SUM(Q2:Q4)</f>
        <v>23952.620000000003</v>
      </c>
      <c r="R15" s="91">
        <f t="shared" si="2"/>
        <v>55088.61</v>
      </c>
      <c r="S15" s="91">
        <f t="shared" si="2"/>
        <v>34876.04</v>
      </c>
      <c r="T15" s="91">
        <f t="shared" si="2"/>
        <v>144912.71</v>
      </c>
      <c r="U15" s="91">
        <f t="shared" si="2"/>
        <v>7249.06</v>
      </c>
      <c r="V15" s="91">
        <f t="shared" si="2"/>
        <v>13071.130000000001</v>
      </c>
      <c r="W15" s="91">
        <f t="shared" si="2"/>
        <v>40366.85</v>
      </c>
      <c r="X15" s="91">
        <f t="shared" si="2"/>
        <v>96886.459999999992</v>
      </c>
      <c r="Y15" s="91">
        <f t="shared" si="2"/>
        <v>27452.18</v>
      </c>
      <c r="Z15" s="91">
        <f t="shared" si="2"/>
        <v>72166.009999999995</v>
      </c>
      <c r="AA15" s="91">
        <f t="shared" si="2"/>
        <v>99393.41</v>
      </c>
      <c r="AB15" s="91">
        <f t="shared" si="2"/>
        <v>48962.11</v>
      </c>
      <c r="AC15" s="91">
        <f t="shared" si="2"/>
        <v>125223.92</v>
      </c>
      <c r="AD15" s="91">
        <f t="shared" si="2"/>
        <v>2087.13</v>
      </c>
      <c r="AE15" s="91">
        <f>(SUM(AE2:AE4))</f>
        <v>7966.2100000000009</v>
      </c>
      <c r="AF15" s="180">
        <f>(SUM(AF2:AF4))</f>
        <v>1491</v>
      </c>
      <c r="AG15" s="180">
        <f>(SUM(AG2:AG4))</f>
        <v>985.43</v>
      </c>
      <c r="AH15" s="180">
        <f>(SUM(AH2:AH4))</f>
        <v>492.84000000000003</v>
      </c>
    </row>
    <row r="16" spans="1:34" ht="17.25" customHeight="1" x14ac:dyDescent="0.25">
      <c r="A16" s="132" t="s">
        <v>204</v>
      </c>
      <c r="B16" s="111">
        <f>SUM(B5:B7)</f>
        <v>140550.81400000001</v>
      </c>
      <c r="C16" s="111">
        <f>SUM(C5:C7)</f>
        <v>10030.930000000002</v>
      </c>
      <c r="D16" s="111">
        <f t="shared" ref="D16:M16" si="3">SUM(D5:D7)</f>
        <v>3211.79</v>
      </c>
      <c r="E16" s="111">
        <f t="shared" ref="E16:K16" si="4">SUM(E5:E7)</f>
        <v>6279.2300000000005</v>
      </c>
      <c r="F16" s="111">
        <f t="shared" si="4"/>
        <v>1211108.46</v>
      </c>
      <c r="G16" s="91">
        <f t="shared" si="4"/>
        <v>12343.01</v>
      </c>
      <c r="H16" s="111">
        <f t="shared" si="4"/>
        <v>82265.989999999991</v>
      </c>
      <c r="I16" s="91">
        <f t="shared" si="4"/>
        <v>54034.729999999996</v>
      </c>
      <c r="J16" s="91">
        <f t="shared" si="4"/>
        <v>56733.36</v>
      </c>
      <c r="K16" s="91">
        <f t="shared" si="4"/>
        <v>13167.91</v>
      </c>
      <c r="L16" s="91">
        <f t="shared" si="3"/>
        <v>33968.879999999997</v>
      </c>
      <c r="M16" s="91">
        <f t="shared" si="3"/>
        <v>0</v>
      </c>
      <c r="N16" s="91">
        <f>SUM(N5:N7)</f>
        <v>53485.820000000007</v>
      </c>
      <c r="O16" s="91">
        <f>SUM(O5:O7)</f>
        <v>2420.19</v>
      </c>
      <c r="P16" s="124" t="s">
        <v>168</v>
      </c>
      <c r="Q16" s="91">
        <f t="shared" ref="Q16:AD16" si="5">SUM(Q5:Q7)</f>
        <v>18655.960000000003</v>
      </c>
      <c r="R16" s="91">
        <f t="shared" ref="R16:AC16" si="6">SUM(R5:R7)</f>
        <v>379788.5</v>
      </c>
      <c r="S16" s="91">
        <f t="shared" si="6"/>
        <v>8123.4400000000005</v>
      </c>
      <c r="T16" s="91">
        <f t="shared" si="6"/>
        <v>48513.279999999999</v>
      </c>
      <c r="U16" s="91">
        <f t="shared" si="6"/>
        <v>31843.39</v>
      </c>
      <c r="V16" s="91">
        <f t="shared" si="6"/>
        <v>12528.939999999999</v>
      </c>
      <c r="W16" s="91">
        <f t="shared" si="6"/>
        <v>147520.15</v>
      </c>
      <c r="X16" s="91">
        <f t="shared" si="6"/>
        <v>389213.2</v>
      </c>
      <c r="Y16" s="91">
        <f t="shared" si="6"/>
        <v>314928.03999999998</v>
      </c>
      <c r="Z16" s="91">
        <f t="shared" si="6"/>
        <v>747907.5</v>
      </c>
      <c r="AA16" s="91">
        <f t="shared" si="6"/>
        <v>405576.73</v>
      </c>
      <c r="AB16" s="91">
        <f t="shared" si="6"/>
        <v>11871.14</v>
      </c>
      <c r="AC16" s="91">
        <f t="shared" si="6"/>
        <v>81200.05</v>
      </c>
      <c r="AD16" s="91">
        <f t="shared" si="5"/>
        <v>2088.77</v>
      </c>
      <c r="AE16" s="111">
        <f>(SUM(AE5:AE7))</f>
        <v>2758.8999999999996</v>
      </c>
      <c r="AF16" s="181">
        <f>(SUM(AF5:AF7))</f>
        <v>19102</v>
      </c>
      <c r="AG16" s="181">
        <f>(SUM(AG5:AG7))</f>
        <v>404.46</v>
      </c>
      <c r="AH16" s="181">
        <f>(SUM(AH5:AH7))</f>
        <v>473.21999999999997</v>
      </c>
    </row>
    <row r="17" spans="1:34" ht="17.25" customHeight="1" x14ac:dyDescent="0.25">
      <c r="A17" s="131" t="s">
        <v>205</v>
      </c>
      <c r="B17" s="111">
        <f t="shared" ref="B17:M17" si="7">SUM(B8:B10)</f>
        <v>267242.12</v>
      </c>
      <c r="C17" s="111">
        <f>SUM(C8:C10)</f>
        <v>48999.199999999997</v>
      </c>
      <c r="D17" s="111">
        <f t="shared" si="7"/>
        <v>150453.54999999999</v>
      </c>
      <c r="E17" s="111">
        <f t="shared" ref="E17:K17" si="8">SUM(E8:E10)</f>
        <v>23320.79</v>
      </c>
      <c r="F17" s="111">
        <f t="shared" si="8"/>
        <v>1286538.02</v>
      </c>
      <c r="G17" s="91">
        <f t="shared" si="8"/>
        <v>37458.400000000001</v>
      </c>
      <c r="H17" s="111">
        <f t="shared" si="8"/>
        <v>213900.59</v>
      </c>
      <c r="I17" s="91">
        <f t="shared" si="8"/>
        <v>28625.43</v>
      </c>
      <c r="J17" s="91">
        <f t="shared" si="8"/>
        <v>164344.02000000002</v>
      </c>
      <c r="K17" s="91">
        <f t="shared" si="8"/>
        <v>21538.400000000001</v>
      </c>
      <c r="L17" s="91">
        <f t="shared" si="7"/>
        <v>45477.239000000001</v>
      </c>
      <c r="M17" s="91">
        <f t="shared" si="7"/>
        <v>0</v>
      </c>
      <c r="N17" s="91">
        <f>SUM(N8:N10)</f>
        <v>42846.48</v>
      </c>
      <c r="O17" s="91">
        <f>SUM(O8:O10)</f>
        <v>11692.349999999999</v>
      </c>
      <c r="P17" s="124" t="s">
        <v>168</v>
      </c>
      <c r="Q17" s="91">
        <f t="shared" ref="Q17:AC17" si="9">SUM(Q8:Q10)</f>
        <v>31543.13</v>
      </c>
      <c r="R17" s="91">
        <f t="shared" ref="R17:AB17" si="10">SUM(R8:R10)</f>
        <v>422811.8</v>
      </c>
      <c r="S17" s="91">
        <f t="shared" si="10"/>
        <v>81867.47</v>
      </c>
      <c r="T17" s="91">
        <f t="shared" si="10"/>
        <v>133355.25</v>
      </c>
      <c r="U17" s="91">
        <f t="shared" si="10"/>
        <v>52537.41</v>
      </c>
      <c r="V17" s="91">
        <f t="shared" si="10"/>
        <v>40901.039999999994</v>
      </c>
      <c r="W17" s="91">
        <f t="shared" si="10"/>
        <v>96977.209999999992</v>
      </c>
      <c r="X17" s="91">
        <f t="shared" si="10"/>
        <v>298964.68</v>
      </c>
      <c r="Y17" s="91">
        <f t="shared" si="10"/>
        <v>319734.05</v>
      </c>
      <c r="Z17" s="91">
        <f t="shared" si="10"/>
        <v>642149.15</v>
      </c>
      <c r="AA17" s="91">
        <f t="shared" si="10"/>
        <v>348689.14</v>
      </c>
      <c r="AB17" s="91">
        <f t="shared" si="10"/>
        <v>147929.83000000002</v>
      </c>
      <c r="AC17" s="91">
        <f t="shared" si="9"/>
        <v>64739.990000000005</v>
      </c>
      <c r="AD17" s="91">
        <f>SUM(AD8:AD10)</f>
        <v>25833.65</v>
      </c>
      <c r="AE17" s="111">
        <f>(SUM(AE8:AE10))</f>
        <v>18440.769999999997</v>
      </c>
      <c r="AF17" s="181">
        <f>(SUM(AF8:AF10))</f>
        <v>25557</v>
      </c>
      <c r="AG17" s="181">
        <f>(SUM(AG8:AG10))</f>
        <v>2528.02</v>
      </c>
      <c r="AH17" s="181">
        <f>(SUM(AH8:AH10))</f>
        <v>2709.49</v>
      </c>
    </row>
    <row r="18" spans="1:34" s="126" customFormat="1" ht="17.25" customHeight="1" thickBot="1" x14ac:dyDescent="0.3">
      <c r="A18" s="130" t="s">
        <v>206</v>
      </c>
      <c r="B18" s="129">
        <f t="shared" ref="B18:L18" si="11">SUM(B11:B13)</f>
        <v>133595.03</v>
      </c>
      <c r="C18" s="129">
        <f t="shared" si="11"/>
        <v>5356.21</v>
      </c>
      <c r="D18" s="129">
        <f t="shared" si="11"/>
        <v>81702.790000000008</v>
      </c>
      <c r="E18" s="129">
        <f t="shared" si="11"/>
        <v>13101.69</v>
      </c>
      <c r="F18" s="129">
        <f t="shared" si="11"/>
        <v>566656.85</v>
      </c>
      <c r="G18" s="127">
        <f t="shared" si="11"/>
        <v>35237.440000000002</v>
      </c>
      <c r="H18" s="129">
        <f t="shared" si="11"/>
        <v>137796.72</v>
      </c>
      <c r="I18" s="127">
        <f t="shared" si="11"/>
        <v>25158.14</v>
      </c>
      <c r="J18" s="127">
        <f t="shared" si="11"/>
        <v>106099.39</v>
      </c>
      <c r="K18" s="127">
        <f t="shared" si="11"/>
        <v>20184.23</v>
      </c>
      <c r="L18" s="127">
        <f t="shared" si="11"/>
        <v>48977.255499999999</v>
      </c>
      <c r="M18" s="127">
        <f t="shared" ref="M18" si="12">SUM(M11:M13)</f>
        <v>0</v>
      </c>
      <c r="N18" s="127">
        <f>SUM(N11:N13)</f>
        <v>80474.8</v>
      </c>
      <c r="O18" s="127">
        <f>SUM(O11:O13)</f>
        <v>3317.41</v>
      </c>
      <c r="P18" s="128" t="s">
        <v>168</v>
      </c>
      <c r="Q18" s="127">
        <f t="shared" ref="Q18:AD18" si="13">SUM(Q11:Q13)</f>
        <v>5983.88</v>
      </c>
      <c r="R18" s="127">
        <f t="shared" si="13"/>
        <v>152131.70000000001</v>
      </c>
      <c r="S18" s="127">
        <f t="shared" si="13"/>
        <v>41895.46</v>
      </c>
      <c r="T18" s="127">
        <f t="shared" si="13"/>
        <v>108860.76999999999</v>
      </c>
      <c r="U18" s="127">
        <f t="shared" si="13"/>
        <v>20367.2</v>
      </c>
      <c r="V18" s="127">
        <f t="shared" si="13"/>
        <v>13931.059999999998</v>
      </c>
      <c r="W18" s="127">
        <f t="shared" si="13"/>
        <v>5377.93</v>
      </c>
      <c r="X18" s="127">
        <f t="shared" si="13"/>
        <v>255944.31</v>
      </c>
      <c r="Y18" s="127">
        <f t="shared" si="13"/>
        <v>185006.58</v>
      </c>
      <c r="Z18" s="127">
        <f t="shared" si="13"/>
        <v>284014.17</v>
      </c>
      <c r="AA18" s="127">
        <f t="shared" si="13"/>
        <v>437400.99000000005</v>
      </c>
      <c r="AB18" s="127">
        <f t="shared" si="13"/>
        <v>44398.720000000001</v>
      </c>
      <c r="AC18" s="127">
        <f t="shared" si="13"/>
        <v>87284.95</v>
      </c>
      <c r="AD18" s="127">
        <f t="shared" si="13"/>
        <v>34462.21</v>
      </c>
      <c r="AE18" s="108">
        <f>(SUM(AE11:AE13))</f>
        <v>14866.82</v>
      </c>
      <c r="AF18" s="182">
        <f>(SUM(AF11:AF13))</f>
        <v>5496</v>
      </c>
      <c r="AG18" s="182">
        <f>(SUM(AG11:AG13))</f>
        <v>3158.74</v>
      </c>
      <c r="AH18" s="182">
        <f>(SUM(AH11:AH13))</f>
        <v>1612.13</v>
      </c>
    </row>
    <row r="19" spans="1:34" s="106" customFormat="1" ht="17.25" customHeight="1" x14ac:dyDescent="0.25">
      <c r="A19" s="125">
        <v>41468</v>
      </c>
      <c r="B19" s="91">
        <v>4104</v>
      </c>
      <c r="C19" s="91">
        <v>1741</v>
      </c>
      <c r="D19" s="91">
        <v>-46106</v>
      </c>
      <c r="E19" s="91">
        <v>2846</v>
      </c>
      <c r="F19" s="91">
        <v>18527</v>
      </c>
      <c r="G19" s="91">
        <v>9693</v>
      </c>
      <c r="H19" s="91">
        <v>88526</v>
      </c>
      <c r="I19" s="91">
        <v>6805.1</v>
      </c>
      <c r="J19" s="91">
        <v>10208</v>
      </c>
      <c r="K19" s="91">
        <v>21153</v>
      </c>
      <c r="L19" s="91">
        <v>42186</v>
      </c>
      <c r="M19" s="91">
        <v>26828</v>
      </c>
      <c r="N19" s="91">
        <v>0</v>
      </c>
      <c r="O19" s="91">
        <v>775</v>
      </c>
      <c r="P19" s="124" t="s">
        <v>168</v>
      </c>
      <c r="Q19" s="91">
        <v>6481</v>
      </c>
      <c r="R19" s="91">
        <v>13224</v>
      </c>
      <c r="S19" s="91">
        <v>19366.099999999999</v>
      </c>
      <c r="T19" s="91">
        <v>26788</v>
      </c>
      <c r="U19" s="91">
        <v>20020</v>
      </c>
      <c r="V19" s="91">
        <v>17314</v>
      </c>
      <c r="W19" s="91">
        <v>1549</v>
      </c>
      <c r="X19" s="91">
        <v>53517.5</v>
      </c>
      <c r="Y19" s="91">
        <v>9950</v>
      </c>
      <c r="Z19" s="91">
        <v>157</v>
      </c>
      <c r="AA19" s="91">
        <v>37593</v>
      </c>
      <c r="AB19" s="91">
        <v>14146</v>
      </c>
      <c r="AC19" s="91">
        <v>43798</v>
      </c>
      <c r="AD19" s="91">
        <v>3386</v>
      </c>
      <c r="AE19" s="91">
        <v>547</v>
      </c>
      <c r="AF19" s="180">
        <v>0</v>
      </c>
      <c r="AG19" s="185"/>
      <c r="AH19" s="186"/>
    </row>
    <row r="20" spans="1:34" ht="17.25" customHeight="1" x14ac:dyDescent="0.25">
      <c r="A20" s="123">
        <v>41499</v>
      </c>
      <c r="B20" s="111">
        <v>8462</v>
      </c>
      <c r="C20" s="111">
        <v>1225</v>
      </c>
      <c r="D20" s="111">
        <v>-7154</v>
      </c>
      <c r="E20" s="111">
        <v>1067</v>
      </c>
      <c r="F20" s="111">
        <v>54107</v>
      </c>
      <c r="G20" s="111">
        <v>9010</v>
      </c>
      <c r="H20" s="111">
        <v>52356</v>
      </c>
      <c r="I20" s="111">
        <v>6759.8</v>
      </c>
      <c r="J20" s="111">
        <v>2753</v>
      </c>
      <c r="K20" s="111">
        <v>5978</v>
      </c>
      <c r="L20" s="111">
        <v>48939</v>
      </c>
      <c r="M20" s="111">
        <v>173074</v>
      </c>
      <c r="N20" s="111">
        <v>6232.2</v>
      </c>
      <c r="O20" s="111">
        <v>511</v>
      </c>
      <c r="P20" s="112" t="s">
        <v>168</v>
      </c>
      <c r="Q20" s="111">
        <v>1767</v>
      </c>
      <c r="R20" s="111">
        <v>16840</v>
      </c>
      <c r="S20" s="111">
        <v>13108.7</v>
      </c>
      <c r="T20" s="111">
        <v>41745</v>
      </c>
      <c r="U20" s="111">
        <v>19573</v>
      </c>
      <c r="V20" s="111">
        <v>8019</v>
      </c>
      <c r="W20" s="111">
        <v>8820</v>
      </c>
      <c r="X20" s="111">
        <v>163243.29999999999</v>
      </c>
      <c r="Y20" s="111">
        <v>15558</v>
      </c>
      <c r="Z20" s="111">
        <v>35774</v>
      </c>
      <c r="AA20" s="111">
        <v>41107</v>
      </c>
      <c r="AB20" s="111">
        <v>5424</v>
      </c>
      <c r="AC20" s="111">
        <v>35629</v>
      </c>
      <c r="AD20" s="111">
        <v>3281</v>
      </c>
      <c r="AE20" s="111">
        <v>495</v>
      </c>
      <c r="AF20" s="181">
        <v>31</v>
      </c>
      <c r="AG20" s="185"/>
    </row>
    <row r="21" spans="1:34" ht="17.25" customHeight="1" thickBot="1" x14ac:dyDescent="0.3">
      <c r="A21" s="122">
        <v>41530</v>
      </c>
      <c r="B21" s="108">
        <v>12324</v>
      </c>
      <c r="C21" s="108">
        <v>1058</v>
      </c>
      <c r="D21" s="108">
        <v>-21</v>
      </c>
      <c r="E21" s="108">
        <v>1716</v>
      </c>
      <c r="F21" s="108">
        <v>76660</v>
      </c>
      <c r="G21" s="108">
        <v>10517</v>
      </c>
      <c r="H21" s="108">
        <v>34856.6</v>
      </c>
      <c r="I21" s="108">
        <v>2520.6</v>
      </c>
      <c r="J21" s="108">
        <v>9039</v>
      </c>
      <c r="K21" s="108">
        <v>5956</v>
      </c>
      <c r="L21" s="108">
        <v>22704</v>
      </c>
      <c r="M21" s="108">
        <v>44682</v>
      </c>
      <c r="N21" s="108">
        <v>5682.6</v>
      </c>
      <c r="O21" s="108">
        <v>359</v>
      </c>
      <c r="P21" s="109" t="s">
        <v>168</v>
      </c>
      <c r="Q21" s="108">
        <v>2894</v>
      </c>
      <c r="R21" s="108">
        <v>40108</v>
      </c>
      <c r="S21" s="108">
        <v>4722.3999999999996</v>
      </c>
      <c r="T21" s="108">
        <v>4011.4</v>
      </c>
      <c r="U21" s="108">
        <v>12131</v>
      </c>
      <c r="V21" s="108">
        <v>4611.2</v>
      </c>
      <c r="W21" s="108">
        <v>13749</v>
      </c>
      <c r="X21" s="108">
        <v>79144</v>
      </c>
      <c r="Y21" s="108">
        <v>47207</v>
      </c>
      <c r="Z21" s="108">
        <v>50532</v>
      </c>
      <c r="AA21" s="108">
        <v>87444</v>
      </c>
      <c r="AB21" s="108">
        <v>666</v>
      </c>
      <c r="AC21" s="108">
        <v>4643</v>
      </c>
      <c r="AD21" s="108">
        <v>4488</v>
      </c>
      <c r="AE21" s="108">
        <v>1321.4</v>
      </c>
      <c r="AF21" s="182">
        <v>119</v>
      </c>
      <c r="AG21" s="185"/>
    </row>
    <row r="22" spans="1:34" ht="17.25" customHeight="1" x14ac:dyDescent="0.25">
      <c r="A22" s="121">
        <v>41560</v>
      </c>
      <c r="B22" s="114">
        <v>4266.9440000000004</v>
      </c>
      <c r="C22" s="114">
        <v>414.62799999999999</v>
      </c>
      <c r="D22" s="114">
        <v>-60</v>
      </c>
      <c r="E22" s="114">
        <v>6867.1134299999994</v>
      </c>
      <c r="F22" s="114">
        <v>564655.15993999992</v>
      </c>
      <c r="G22" s="114">
        <v>15356.268000000002</v>
      </c>
      <c r="H22" s="114">
        <v>70175.240139999994</v>
      </c>
      <c r="I22" s="114">
        <v>4112.0495000000001</v>
      </c>
      <c r="J22" s="114">
        <v>10720.586139999999</v>
      </c>
      <c r="K22" s="114">
        <v>10746.100850000001</v>
      </c>
      <c r="L22" s="114">
        <v>31243.343000000001</v>
      </c>
      <c r="M22" s="114">
        <v>94386.027019999994</v>
      </c>
      <c r="N22" s="114">
        <v>14436.865599999999</v>
      </c>
      <c r="O22" s="114">
        <v>844.98</v>
      </c>
      <c r="P22" s="115" t="s">
        <v>168</v>
      </c>
      <c r="Q22" s="114">
        <v>5083.0624000000007</v>
      </c>
      <c r="R22" s="114">
        <v>155559</v>
      </c>
      <c r="S22" s="114">
        <v>14023.18</v>
      </c>
      <c r="T22" s="114">
        <v>31475.721540000002</v>
      </c>
      <c r="U22" s="114">
        <v>17838.136000000002</v>
      </c>
      <c r="V22" s="114">
        <v>6919.0343999999996</v>
      </c>
      <c r="W22" s="114">
        <v>90194.108399999997</v>
      </c>
      <c r="X22" s="114">
        <v>225649.47242000001</v>
      </c>
      <c r="Y22" s="114">
        <v>199211</v>
      </c>
      <c r="Z22" s="114">
        <v>211755.86074999999</v>
      </c>
      <c r="AA22" s="114">
        <v>392396.68644000002</v>
      </c>
      <c r="AB22" s="114">
        <v>6466.8417600000002</v>
      </c>
      <c r="AC22" s="114">
        <v>44911.920100000003</v>
      </c>
      <c r="AD22" s="114">
        <v>4545.9084000000003</v>
      </c>
      <c r="AE22" s="91">
        <v>550.96439999999996</v>
      </c>
      <c r="AF22" s="180">
        <v>31</v>
      </c>
      <c r="AG22" s="185"/>
    </row>
    <row r="23" spans="1:34" ht="17.25" customHeight="1" x14ac:dyDescent="0.25">
      <c r="A23" s="120">
        <v>41591</v>
      </c>
      <c r="B23" s="111">
        <v>1645.2972</v>
      </c>
      <c r="C23" s="111">
        <v>249.77500000000001</v>
      </c>
      <c r="D23" s="111">
        <v>-20</v>
      </c>
      <c r="E23" s="111">
        <v>5187.9486099999995</v>
      </c>
      <c r="F23" s="111">
        <v>780940.3314599999</v>
      </c>
      <c r="G23" s="111">
        <v>8867.7059500000014</v>
      </c>
      <c r="H23" s="111">
        <v>38209.317399999993</v>
      </c>
      <c r="I23" s="111">
        <v>8621.4441000000024</v>
      </c>
      <c r="J23" s="111">
        <v>1152.4742000000001</v>
      </c>
      <c r="K23" s="111">
        <v>5379.2844999999998</v>
      </c>
      <c r="L23" s="111">
        <v>12311.729199999998</v>
      </c>
      <c r="M23" s="111">
        <v>37263.179999999993</v>
      </c>
      <c r="N23" s="111">
        <v>13833.635999999999</v>
      </c>
      <c r="O23" s="111">
        <v>739.35874999999999</v>
      </c>
      <c r="P23" s="112" t="s">
        <v>168</v>
      </c>
      <c r="Q23" s="111">
        <v>2148.5151499999997</v>
      </c>
      <c r="R23" s="111">
        <v>194801</v>
      </c>
      <c r="S23" s="111">
        <v>5567.7334000000001</v>
      </c>
      <c r="T23" s="111">
        <v>16947.412799999998</v>
      </c>
      <c r="U23" s="111">
        <v>4098.7575999999999</v>
      </c>
      <c r="V23" s="111">
        <v>8268.3322000000007</v>
      </c>
      <c r="W23" s="111">
        <v>90746.534500000009</v>
      </c>
      <c r="X23" s="111">
        <v>159391.35570000001</v>
      </c>
      <c r="Y23" s="111">
        <v>244445.9192</v>
      </c>
      <c r="Z23" s="111">
        <v>269839.69469999999</v>
      </c>
      <c r="AA23" s="111">
        <v>393754</v>
      </c>
      <c r="AB23" s="111">
        <v>5446.9238499999992</v>
      </c>
      <c r="AC23" s="111">
        <v>8292.4717999999993</v>
      </c>
      <c r="AD23" s="111">
        <v>2139.2683499999998</v>
      </c>
      <c r="AE23" s="111">
        <v>598.31769999999995</v>
      </c>
      <c r="AF23" s="181">
        <v>109.18</v>
      </c>
      <c r="AG23" s="185"/>
    </row>
    <row r="24" spans="1:34" ht="17.25" customHeight="1" thickBot="1" x14ac:dyDescent="0.3">
      <c r="A24" s="119">
        <v>41621</v>
      </c>
      <c r="B24" s="108">
        <v>7998.8587500000003</v>
      </c>
      <c r="C24" s="108">
        <v>37.36</v>
      </c>
      <c r="D24" s="108">
        <v>-3211.7959999999998</v>
      </c>
      <c r="E24" s="108">
        <v>4677.8315000000002</v>
      </c>
      <c r="F24" s="108">
        <v>851250.03890000016</v>
      </c>
      <c r="G24" s="108">
        <v>14431.522200000003</v>
      </c>
      <c r="H24" s="108">
        <v>43870.201400000005</v>
      </c>
      <c r="I24" s="108">
        <v>4110.4960000000001</v>
      </c>
      <c r="J24" s="108">
        <v>6100</v>
      </c>
      <c r="K24" s="108">
        <v>12426.399799999996</v>
      </c>
      <c r="L24" s="108">
        <v>52574.268030000007</v>
      </c>
      <c r="M24" s="108">
        <v>106392.48</v>
      </c>
      <c r="N24" s="108">
        <v>14713.596000000001</v>
      </c>
      <c r="O24" s="108">
        <v>2957.3550000000005</v>
      </c>
      <c r="P24" s="109" t="s">
        <v>168</v>
      </c>
      <c r="Q24" s="108">
        <v>6727.4051999999992</v>
      </c>
      <c r="R24" s="108">
        <v>200674.6312</v>
      </c>
      <c r="S24" s="108">
        <v>11547.689999999999</v>
      </c>
      <c r="T24" s="108">
        <v>17397</v>
      </c>
      <c r="U24" s="108">
        <v>5569.5830999999989</v>
      </c>
      <c r="V24" s="108">
        <v>6975.8341999999993</v>
      </c>
      <c r="W24" s="108">
        <v>85441.766599999988</v>
      </c>
      <c r="X24" s="108">
        <v>170246.44255000001</v>
      </c>
      <c r="Y24" s="108">
        <v>213673.0747</v>
      </c>
      <c r="Z24" s="108">
        <v>215438.87299999999</v>
      </c>
      <c r="AA24" s="108">
        <v>294890.30394000001</v>
      </c>
      <c r="AB24" s="108">
        <v>3152.7746999999999</v>
      </c>
      <c r="AC24" s="108">
        <v>3800</v>
      </c>
      <c r="AD24" s="108">
        <v>4053.8231999999994</v>
      </c>
      <c r="AE24" s="108">
        <v>436.70715000000001</v>
      </c>
      <c r="AF24" s="182">
        <v>50.65</v>
      </c>
      <c r="AG24" s="185"/>
    </row>
    <row r="25" spans="1:34" ht="17.25" customHeight="1" x14ac:dyDescent="0.25">
      <c r="A25" s="118">
        <v>41653</v>
      </c>
      <c r="B25" s="114">
        <v>11122.18</v>
      </c>
      <c r="C25" s="114">
        <v>16730.427250000001</v>
      </c>
      <c r="D25" s="114">
        <v>3.6844000000000001</v>
      </c>
      <c r="E25" s="114">
        <v>8864.9188999999988</v>
      </c>
      <c r="F25" s="114">
        <v>719713.34447999997</v>
      </c>
      <c r="G25" s="114">
        <v>7990.494999999999</v>
      </c>
      <c r="H25" s="114">
        <v>68949.43140999999</v>
      </c>
      <c r="I25" s="114">
        <v>7597.7216000000008</v>
      </c>
      <c r="J25" s="114">
        <v>14685.025010000001</v>
      </c>
      <c r="K25" s="114">
        <v>10311.277700000001</v>
      </c>
      <c r="L25" s="114">
        <v>46864.560700000002</v>
      </c>
      <c r="M25" s="114">
        <v>81441.628800000006</v>
      </c>
      <c r="N25" s="114">
        <v>4956.2963999999993</v>
      </c>
      <c r="O25" s="114">
        <v>3934.3130000000001</v>
      </c>
      <c r="P25" s="115" t="s">
        <v>168</v>
      </c>
      <c r="Q25" s="114">
        <v>9764.7391000000007</v>
      </c>
      <c r="R25" s="114">
        <v>158161</v>
      </c>
      <c r="S25" s="114">
        <v>19584.151400000002</v>
      </c>
      <c r="T25" s="114">
        <v>24871.95191</v>
      </c>
      <c r="U25" s="114">
        <v>19339.222549999999</v>
      </c>
      <c r="V25" s="114">
        <v>11324.35</v>
      </c>
      <c r="W25" s="114">
        <v>153130.92029999997</v>
      </c>
      <c r="X25" s="114">
        <v>238923.70079999999</v>
      </c>
      <c r="Y25" s="114">
        <v>189651.9914</v>
      </c>
      <c r="Z25" s="114">
        <v>260118.32459999999</v>
      </c>
      <c r="AA25" s="114">
        <v>219008.30394000001</v>
      </c>
      <c r="AB25" s="114">
        <v>11414.670799999998</v>
      </c>
      <c r="AC25" s="114">
        <v>8996.6254500000014</v>
      </c>
      <c r="AD25" s="114">
        <v>8488.0069000000021</v>
      </c>
      <c r="AE25" s="91">
        <v>1423.3697999999999</v>
      </c>
      <c r="AF25" s="180">
        <v>375.87</v>
      </c>
      <c r="AG25" s="185"/>
    </row>
    <row r="26" spans="1:34" ht="17.25" customHeight="1" x14ac:dyDescent="0.25">
      <c r="A26" s="117">
        <v>41684</v>
      </c>
      <c r="B26" s="111">
        <v>5730.8015999999998</v>
      </c>
      <c r="C26" s="111">
        <v>24330.2837</v>
      </c>
      <c r="D26" s="111">
        <v>1627.296</v>
      </c>
      <c r="E26" s="111">
        <v>15122.849799999998</v>
      </c>
      <c r="F26" s="111">
        <v>736100.1667200001</v>
      </c>
      <c r="G26" s="111">
        <v>20080.601200000001</v>
      </c>
      <c r="H26" s="111">
        <v>97122.573339999988</v>
      </c>
      <c r="I26" s="111">
        <v>8401.032250000002</v>
      </c>
      <c r="J26" s="111">
        <v>7397.4956400000001</v>
      </c>
      <c r="K26" s="111">
        <v>13285.3976</v>
      </c>
      <c r="L26" s="111">
        <v>8256.7885000000006</v>
      </c>
      <c r="M26" s="111">
        <v>34316.494399999996</v>
      </c>
      <c r="N26" s="111">
        <v>5051.5515000000005</v>
      </c>
      <c r="O26" s="111">
        <v>3241.71</v>
      </c>
      <c r="P26" s="112" t="s">
        <v>168</v>
      </c>
      <c r="Q26" s="111">
        <v>2977.0084000000002</v>
      </c>
      <c r="R26" s="111">
        <v>151435</v>
      </c>
      <c r="S26" s="111">
        <v>41658.176999999996</v>
      </c>
      <c r="T26" s="111">
        <v>13154.546039999999</v>
      </c>
      <c r="U26" s="111">
        <v>17035.224049999997</v>
      </c>
      <c r="V26" s="111">
        <v>6772.0315000000001</v>
      </c>
      <c r="W26" s="111">
        <v>96290.159899999999</v>
      </c>
      <c r="X26" s="111">
        <v>146164.71979999999</v>
      </c>
      <c r="Y26" s="111">
        <v>169524.8026</v>
      </c>
      <c r="Z26" s="111">
        <v>182641.56359999999</v>
      </c>
      <c r="AA26" s="111">
        <v>226647</v>
      </c>
      <c r="AB26" s="111">
        <v>11850.041850000001</v>
      </c>
      <c r="AC26" s="111">
        <v>9804.1362000000008</v>
      </c>
      <c r="AD26" s="111">
        <v>15137.246250000002</v>
      </c>
      <c r="AE26" s="111">
        <v>1492.7882999999999</v>
      </c>
      <c r="AF26" s="181">
        <v>0</v>
      </c>
      <c r="AG26" s="185"/>
    </row>
    <row r="27" spans="1:34" ht="17.25" customHeight="1" thickBot="1" x14ac:dyDescent="0.3">
      <c r="A27" s="116">
        <v>41712</v>
      </c>
      <c r="B27" s="108">
        <v>27551.422399999999</v>
      </c>
      <c r="C27" s="108">
        <v>18221.653999999999</v>
      </c>
      <c r="D27" s="108">
        <v>177</v>
      </c>
      <c r="E27" s="108">
        <v>14807.842859999995</v>
      </c>
      <c r="F27" s="108">
        <v>429159.58856</v>
      </c>
      <c r="G27" s="108">
        <v>10122.162700000001</v>
      </c>
      <c r="H27" s="108">
        <v>95738.141400000008</v>
      </c>
      <c r="I27" s="108">
        <v>11703.239200000004</v>
      </c>
      <c r="J27" s="108">
        <v>20231.4316</v>
      </c>
      <c r="K27" s="108">
        <v>12965.92</v>
      </c>
      <c r="L27" s="108">
        <v>10873.876799999998</v>
      </c>
      <c r="M27" s="108">
        <v>26808.791999999998</v>
      </c>
      <c r="N27" s="108">
        <v>15581.865600000001</v>
      </c>
      <c r="O27" s="108">
        <v>6816.0525000000016</v>
      </c>
      <c r="P27" s="109" t="s">
        <v>168</v>
      </c>
      <c r="Q27" s="108">
        <v>9630.5906999999988</v>
      </c>
      <c r="R27" s="108">
        <v>122180.4748</v>
      </c>
      <c r="S27" s="108">
        <v>47352.438999999998</v>
      </c>
      <c r="T27" s="108">
        <v>86332.448199999999</v>
      </c>
      <c r="U27" s="108">
        <v>18936.261499999997</v>
      </c>
      <c r="V27" s="108">
        <v>32418.374799999998</v>
      </c>
      <c r="W27" s="108">
        <v>44235.737600000008</v>
      </c>
      <c r="X27" s="108">
        <v>121230.67199999999</v>
      </c>
      <c r="Y27" s="108">
        <v>149390</v>
      </c>
      <c r="Z27" s="108">
        <v>138561.117</v>
      </c>
      <c r="AA27" s="108">
        <v>362808</v>
      </c>
      <c r="AB27" s="108">
        <v>11235.411799999998</v>
      </c>
      <c r="AC27" s="108">
        <v>100877.99520000002</v>
      </c>
      <c r="AD27" s="108">
        <v>22520.9794</v>
      </c>
      <c r="AE27" s="108">
        <v>1305.3505</v>
      </c>
      <c r="AF27" s="182">
        <v>0</v>
      </c>
      <c r="AG27" s="185"/>
    </row>
    <row r="28" spans="1:34" ht="17.25" customHeight="1" x14ac:dyDescent="0.25">
      <c r="A28" s="113">
        <v>41743</v>
      </c>
      <c r="B28" s="114">
        <v>6460.9148999999998</v>
      </c>
      <c r="C28" s="114">
        <v>3776.7682500000001</v>
      </c>
      <c r="D28" s="114">
        <v>13703.217699999999</v>
      </c>
      <c r="E28" s="114">
        <v>10637.225200000001</v>
      </c>
      <c r="F28" s="114">
        <v>403700.06047999999</v>
      </c>
      <c r="G28" s="114">
        <v>20687.636800000007</v>
      </c>
      <c r="H28" s="114">
        <v>150580.22389999998</v>
      </c>
      <c r="I28" s="114">
        <v>6870.7953999999982</v>
      </c>
      <c r="J28" s="114">
        <v>26308.177100000001</v>
      </c>
      <c r="K28" s="114">
        <v>24998.017060000009</v>
      </c>
      <c r="L28" s="114">
        <v>63421.886250000003</v>
      </c>
      <c r="M28" s="114">
        <v>76042.039149999997</v>
      </c>
      <c r="N28" s="114">
        <v>16155.848800000002</v>
      </c>
      <c r="O28" s="114">
        <v>3957.2090000000003</v>
      </c>
      <c r="P28" s="115" t="s">
        <v>168</v>
      </c>
      <c r="Q28" s="114">
        <v>9360.8162000000011</v>
      </c>
      <c r="R28" s="114">
        <v>153671.73120000001</v>
      </c>
      <c r="S28" s="114">
        <v>31276.403100000007</v>
      </c>
      <c r="T28" s="114">
        <v>67400.711399999986</v>
      </c>
      <c r="U28" s="114">
        <v>35839.283299999996</v>
      </c>
      <c r="V28" s="114">
        <v>8404.5662000000011</v>
      </c>
      <c r="W28" s="114">
        <v>56818.162799999998</v>
      </c>
      <c r="X28" s="114">
        <v>126580.40618999999</v>
      </c>
      <c r="Y28" s="114">
        <v>199607.31969999999</v>
      </c>
      <c r="Z28" s="114">
        <v>158663.91620000001</v>
      </c>
      <c r="AA28" s="114">
        <v>522302.84940000001</v>
      </c>
      <c r="AB28" s="114">
        <v>20524.032269999996</v>
      </c>
      <c r="AC28" s="114">
        <v>69326.080000000002</v>
      </c>
      <c r="AD28" s="114">
        <v>17111.409000000003</v>
      </c>
      <c r="AE28" s="91">
        <v>1828.2103</v>
      </c>
      <c r="AF28" s="180">
        <v>2298.3090000000002</v>
      </c>
      <c r="AG28" s="185"/>
    </row>
    <row r="29" spans="1:34" ht="17.25" customHeight="1" x14ac:dyDescent="0.25">
      <c r="A29" s="110">
        <v>41773</v>
      </c>
      <c r="B29" s="111">
        <v>1801.5661</v>
      </c>
      <c r="C29" s="111">
        <v>3886.5319</v>
      </c>
      <c r="D29" s="111">
        <v>27997.002899999999</v>
      </c>
      <c r="E29" s="111">
        <v>7189.9137899999996</v>
      </c>
      <c r="F29" s="111">
        <v>244918.3811</v>
      </c>
      <c r="G29" s="111">
        <v>11942.5591</v>
      </c>
      <c r="H29" s="111">
        <v>55797.156630000005</v>
      </c>
      <c r="I29" s="111">
        <v>5741.983000000002</v>
      </c>
      <c r="J29" s="111">
        <v>21118.785659999998</v>
      </c>
      <c r="K29" s="111">
        <v>8864.3502299999982</v>
      </c>
      <c r="L29" s="111">
        <v>17743.0605</v>
      </c>
      <c r="M29" s="111">
        <v>52100.64185</v>
      </c>
      <c r="N29" s="111">
        <v>15918.12066</v>
      </c>
      <c r="O29" s="111">
        <v>3889.4365000000003</v>
      </c>
      <c r="P29" s="112" t="s">
        <v>168</v>
      </c>
      <c r="Q29" s="111">
        <v>7417.3390599999975</v>
      </c>
      <c r="R29" s="111">
        <v>38582</v>
      </c>
      <c r="S29" s="111">
        <v>25183.397370000002</v>
      </c>
      <c r="T29" s="111">
        <v>96094.873650000009</v>
      </c>
      <c r="U29" s="111">
        <v>11837.607839999999</v>
      </c>
      <c r="V29" s="111">
        <v>17514.754199999999</v>
      </c>
      <c r="W29" s="111">
        <v>6300</v>
      </c>
      <c r="X29" s="111">
        <v>27077.858120000001</v>
      </c>
      <c r="Y29" s="111">
        <v>115593.677</v>
      </c>
      <c r="Z29" s="111">
        <v>139438.93309999999</v>
      </c>
      <c r="AA29" s="111">
        <v>363394</v>
      </c>
      <c r="AB29" s="111">
        <v>11055.301419999996</v>
      </c>
      <c r="AC29" s="111">
        <v>115661.94701999999</v>
      </c>
      <c r="AD29" s="111">
        <v>8020.2447899999988</v>
      </c>
      <c r="AE29" s="111">
        <v>618.42719999999997</v>
      </c>
      <c r="AF29" s="181">
        <v>0</v>
      </c>
      <c r="AG29" s="185"/>
    </row>
    <row r="30" spans="1:34" ht="17.25" customHeight="1" thickBot="1" x14ac:dyDescent="0.3">
      <c r="A30" s="107">
        <v>41804</v>
      </c>
      <c r="B30" s="108">
        <v>1191.0849000000001</v>
      </c>
      <c r="C30" s="108">
        <v>905.48119999999994</v>
      </c>
      <c r="D30" s="108">
        <v>11228.464699999999</v>
      </c>
      <c r="E30" s="108">
        <v>7057.71461</v>
      </c>
      <c r="F30" s="108">
        <v>40002.762770000001</v>
      </c>
      <c r="G30" s="108">
        <v>5871.664600000001</v>
      </c>
      <c r="H30" s="108">
        <v>119844.54319999997</v>
      </c>
      <c r="I30" s="108">
        <v>5446.1614000000009</v>
      </c>
      <c r="J30" s="108">
        <v>11089.454300000001</v>
      </c>
      <c r="K30" s="108">
        <v>21931.816320000002</v>
      </c>
      <c r="L30" s="108">
        <v>10989.159</v>
      </c>
      <c r="M30" s="108">
        <v>10871.4288</v>
      </c>
      <c r="N30" s="108">
        <v>3553.4985199999996</v>
      </c>
      <c r="O30" s="108">
        <v>765.86749999999995</v>
      </c>
      <c r="P30" s="109" t="s">
        <v>168</v>
      </c>
      <c r="Q30" s="108">
        <v>7914.180620000001</v>
      </c>
      <c r="R30" s="108">
        <v>20794</v>
      </c>
      <c r="S30" s="108">
        <v>18171.119499999997</v>
      </c>
      <c r="T30" s="108">
        <v>33156.983479999995</v>
      </c>
      <c r="U30" s="108">
        <v>24925.304159999996</v>
      </c>
      <c r="V30" s="108">
        <v>2858.40452</v>
      </c>
      <c r="W30" s="108">
        <v>1760.4557</v>
      </c>
      <c r="X30" s="108">
        <v>53178</v>
      </c>
      <c r="Y30" s="108">
        <v>30000</v>
      </c>
      <c r="Z30" s="108">
        <v>205.03020000000001</v>
      </c>
      <c r="AA30" s="108">
        <v>74759</v>
      </c>
      <c r="AB30" s="108">
        <v>5180.978900000001</v>
      </c>
      <c r="AC30" s="108">
        <v>38913.843249999998</v>
      </c>
      <c r="AD30" s="108">
        <v>9619.6714499999998</v>
      </c>
      <c r="AE30" s="108">
        <v>234</v>
      </c>
      <c r="AF30" s="182">
        <v>0</v>
      </c>
      <c r="AG30" s="185"/>
    </row>
    <row r="31" spans="1:34" ht="17.25" customHeight="1" x14ac:dyDescent="0.25">
      <c r="A31" s="123">
        <v>41834</v>
      </c>
      <c r="B31" s="111">
        <v>359.04599999999999</v>
      </c>
      <c r="C31" s="111">
        <v>397.44485000000003</v>
      </c>
      <c r="D31" s="111">
        <v>68914.1924</v>
      </c>
      <c r="E31" s="111">
        <v>2148.8647400000004</v>
      </c>
      <c r="F31" s="111">
        <v>20090.550889999999</v>
      </c>
      <c r="G31" s="111">
        <v>12584.7837</v>
      </c>
      <c r="H31" s="111">
        <v>84416.622910000006</v>
      </c>
      <c r="I31" s="111">
        <v>12986.909339999995</v>
      </c>
      <c r="J31" s="111">
        <v>16493.370699999999</v>
      </c>
      <c r="K31" s="111">
        <v>8045.7303000000002</v>
      </c>
      <c r="L31" s="111">
        <v>5782.9072999999999</v>
      </c>
      <c r="M31" s="111">
        <v>0</v>
      </c>
      <c r="N31" s="111">
        <v>4962.8602600000004</v>
      </c>
      <c r="O31" s="111">
        <v>519.18700000000001</v>
      </c>
      <c r="P31" s="112" t="s">
        <v>168</v>
      </c>
      <c r="Q31" s="111">
        <v>2424.7870199999998</v>
      </c>
      <c r="R31" s="111">
        <v>10662</v>
      </c>
      <c r="S31" s="111">
        <v>40597.846489999989</v>
      </c>
      <c r="T31" s="111">
        <v>73579.413249999998</v>
      </c>
      <c r="U31" s="111">
        <v>16976.931919999999</v>
      </c>
      <c r="V31" s="111">
        <v>9788.0869000000002</v>
      </c>
      <c r="W31" s="111">
        <v>3150</v>
      </c>
      <c r="X31" s="111">
        <v>17340.305619999999</v>
      </c>
      <c r="Y31" s="111">
        <v>26.3154</v>
      </c>
      <c r="Z31" s="111">
        <v>3525.8020000000001</v>
      </c>
      <c r="AA31" s="111">
        <v>24768.096550000002</v>
      </c>
      <c r="AB31" s="111">
        <v>16235.960650000005</v>
      </c>
      <c r="AC31" s="111">
        <v>75645.924949999986</v>
      </c>
      <c r="AD31" s="111">
        <v>1814.3930900000003</v>
      </c>
      <c r="AE31" s="91">
        <v>218.78319999999999</v>
      </c>
      <c r="AF31" s="180">
        <v>0</v>
      </c>
      <c r="AG31" s="185"/>
    </row>
    <row r="32" spans="1:34" ht="17.25" customHeight="1" x14ac:dyDescent="0.25">
      <c r="A32" s="123">
        <v>41865</v>
      </c>
      <c r="B32" s="111">
        <v>4113.5851000000002</v>
      </c>
      <c r="C32" s="111">
        <v>190.65160000000003</v>
      </c>
      <c r="D32" s="111">
        <v>91.704399999999993</v>
      </c>
      <c r="E32" s="111">
        <v>1690.1835899999999</v>
      </c>
      <c r="F32" s="111">
        <v>46720.222479999997</v>
      </c>
      <c r="G32" s="111">
        <v>1589.0163999999997</v>
      </c>
      <c r="H32" s="111">
        <v>76834.470560000002</v>
      </c>
      <c r="I32" s="111">
        <v>8046.8694000000014</v>
      </c>
      <c r="J32" s="111">
        <v>14036.247139999998</v>
      </c>
      <c r="K32" s="111">
        <v>7003.4502200000006</v>
      </c>
      <c r="L32" s="111">
        <v>7469.9272000000001</v>
      </c>
      <c r="M32" s="111">
        <v>5614.53</v>
      </c>
      <c r="N32" s="111">
        <v>5207.3154000000004</v>
      </c>
      <c r="O32" s="111">
        <v>487.12499999999994</v>
      </c>
      <c r="P32" s="112" t="s">
        <v>168</v>
      </c>
      <c r="Q32" s="111">
        <v>2096.6735099999996</v>
      </c>
      <c r="R32" s="111">
        <v>19520</v>
      </c>
      <c r="S32" s="111">
        <v>18009.648000000001</v>
      </c>
      <c r="T32" s="111">
        <v>47104.115739999994</v>
      </c>
      <c r="U32" s="111">
        <v>13472.568430000001</v>
      </c>
      <c r="V32" s="111">
        <v>10537.485400000003</v>
      </c>
      <c r="W32" s="111">
        <v>6049.9013999999997</v>
      </c>
      <c r="X32" s="111">
        <v>32129.175499999998</v>
      </c>
      <c r="Y32" s="111">
        <v>25432.025399999999</v>
      </c>
      <c r="Z32" s="111">
        <v>58103.736600000004</v>
      </c>
      <c r="AA32" s="111">
        <v>47310</v>
      </c>
      <c r="AB32" s="111">
        <v>3819.2109999999993</v>
      </c>
      <c r="AC32" s="111">
        <v>33750.5389</v>
      </c>
      <c r="AD32" s="111">
        <v>8843.4575800000002</v>
      </c>
      <c r="AE32" s="111">
        <v>255.01319999999998</v>
      </c>
      <c r="AF32" s="181">
        <v>219.374</v>
      </c>
      <c r="AG32" s="185"/>
    </row>
    <row r="33" spans="1:33" ht="17.25" customHeight="1" thickBot="1" x14ac:dyDescent="0.3">
      <c r="A33" s="122">
        <v>41896</v>
      </c>
      <c r="B33" s="108">
        <v>5038.8822499999997</v>
      </c>
      <c r="C33" s="108">
        <v>145.78425000000001</v>
      </c>
      <c r="D33" s="108">
        <v>36</v>
      </c>
      <c r="E33" s="108">
        <v>1326.0287699999999</v>
      </c>
      <c r="F33" s="108">
        <v>114296.43734</v>
      </c>
      <c r="G33" s="108">
        <v>4516.5770000000002</v>
      </c>
      <c r="H33" s="108">
        <v>-10125.788430000015</v>
      </c>
      <c r="I33" s="108">
        <v>2560.9073899999999</v>
      </c>
      <c r="J33" s="108">
        <v>2206.3168999999998</v>
      </c>
      <c r="K33" s="108">
        <v>9318.9331700000002</v>
      </c>
      <c r="L33" s="108">
        <v>88.348399999999998</v>
      </c>
      <c r="M33" s="108">
        <v>0</v>
      </c>
      <c r="N33" s="108">
        <v>5269.0846000000001</v>
      </c>
      <c r="O33" s="108">
        <v>618.18250000000012</v>
      </c>
      <c r="P33" s="109" t="s">
        <v>168</v>
      </c>
      <c r="Q33" s="108">
        <v>1870.2317599999999</v>
      </c>
      <c r="R33" s="108">
        <v>46050</v>
      </c>
      <c r="S33" s="108">
        <v>15359.336509999999</v>
      </c>
      <c r="T33" s="108">
        <v>14981.576849999999</v>
      </c>
      <c r="U33" s="108">
        <v>21795.266990000004</v>
      </c>
      <c r="V33" s="108">
        <v>2577.8972000000003</v>
      </c>
      <c r="W33" s="108">
        <v>7706.0382</v>
      </c>
      <c r="X33" s="108">
        <v>44248.585099999997</v>
      </c>
      <c r="Y33" s="108">
        <v>49949.667600000001</v>
      </c>
      <c r="Z33" s="108">
        <v>14704.623</v>
      </c>
      <c r="AA33" s="108">
        <v>73087.184800000003</v>
      </c>
      <c r="AB33" s="108">
        <v>1144.7168999999999</v>
      </c>
      <c r="AC33" s="108">
        <v>20007.871410000003</v>
      </c>
      <c r="AD33" s="108">
        <v>12348.540059999998</v>
      </c>
      <c r="AE33" s="108">
        <v>342.79480000000001</v>
      </c>
      <c r="AF33" s="182">
        <v>150</v>
      </c>
      <c r="AG33" s="185"/>
    </row>
    <row r="34" spans="1:33" ht="17.25" customHeight="1" x14ac:dyDescent="0.25">
      <c r="A34" s="121">
        <v>41926</v>
      </c>
      <c r="B34" s="114">
        <v>5846.6863000000003</v>
      </c>
      <c r="C34" s="114">
        <v>456.87592999999998</v>
      </c>
      <c r="D34" s="114">
        <v>60</v>
      </c>
      <c r="E34" s="114">
        <v>4814.8626599999989</v>
      </c>
      <c r="F34" s="114">
        <v>421414.02742</v>
      </c>
      <c r="G34" s="114">
        <v>5731.8933000000006</v>
      </c>
      <c r="H34" s="114">
        <v>50315.293009999994</v>
      </c>
      <c r="I34" s="114">
        <v>3606.1657999999998</v>
      </c>
      <c r="J34" s="114">
        <v>15949.488599999999</v>
      </c>
      <c r="K34" s="114">
        <v>7426.2221</v>
      </c>
      <c r="L34" s="114">
        <v>11375.35968</v>
      </c>
      <c r="M34" s="114">
        <v>96.194280000000006</v>
      </c>
      <c r="N34" s="114">
        <v>5601.1475599999994</v>
      </c>
      <c r="O34" s="114">
        <v>841.36</v>
      </c>
      <c r="P34" s="115" t="s">
        <v>168</v>
      </c>
      <c r="Q34" s="114">
        <v>3858.2578999999992</v>
      </c>
      <c r="R34" s="114">
        <v>133096</v>
      </c>
      <c r="S34" s="114">
        <v>25769.162619999999</v>
      </c>
      <c r="T34" s="114">
        <v>24065.977699999999</v>
      </c>
      <c r="U34" s="114">
        <v>9516.1368199999997</v>
      </c>
      <c r="V34" s="114">
        <v>4241.1453600000004</v>
      </c>
      <c r="W34" s="114">
        <v>72268.622399999993</v>
      </c>
      <c r="X34" s="114">
        <v>133056.7205</v>
      </c>
      <c r="Y34" s="114">
        <v>180183.09299999999</v>
      </c>
      <c r="Z34" s="114">
        <v>177642.86916</v>
      </c>
      <c r="AA34" s="114">
        <v>331440.5</v>
      </c>
      <c r="AB34" s="114">
        <v>2791.1669599999996</v>
      </c>
      <c r="AC34" s="114">
        <v>19782.911219999998</v>
      </c>
      <c r="AD34" s="114">
        <v>3578.4933200000009</v>
      </c>
      <c r="AE34" s="91">
        <v>580.14245999999991</v>
      </c>
      <c r="AF34" s="180">
        <v>0</v>
      </c>
      <c r="AG34" s="185"/>
    </row>
    <row r="35" spans="1:33" ht="17.25" customHeight="1" x14ac:dyDescent="0.25">
      <c r="A35" s="120">
        <v>41957</v>
      </c>
      <c r="B35" s="111">
        <v>4225.3613999999998</v>
      </c>
      <c r="C35" s="111">
        <v>69.164699999999996</v>
      </c>
      <c r="D35" s="111">
        <v>2</v>
      </c>
      <c r="E35" s="111">
        <v>2818.5473099999999</v>
      </c>
      <c r="F35" s="111">
        <v>529184.13320000004</v>
      </c>
      <c r="G35" s="111">
        <v>3089.2186999999999</v>
      </c>
      <c r="H35" s="111">
        <v>20538.982110000001</v>
      </c>
      <c r="I35" s="111">
        <v>1954.0536000000002</v>
      </c>
      <c r="J35" s="111">
        <v>1048.70354</v>
      </c>
      <c r="K35" s="111">
        <v>5000.1014499999992</v>
      </c>
      <c r="L35" s="111">
        <v>34.177599999999998</v>
      </c>
      <c r="M35" s="111">
        <v>510</v>
      </c>
      <c r="N35" s="111">
        <v>19581.073199999999</v>
      </c>
      <c r="O35" s="111">
        <v>1017.1715</v>
      </c>
      <c r="P35" s="112" t="s">
        <v>168</v>
      </c>
      <c r="Q35" s="111">
        <v>1286.6541500000001</v>
      </c>
      <c r="R35" s="111">
        <v>145562</v>
      </c>
      <c r="S35" s="111">
        <v>5537.7570999999998</v>
      </c>
      <c r="T35" s="111">
        <v>9349.0807400000012</v>
      </c>
      <c r="U35" s="111">
        <v>1589.6040799999998</v>
      </c>
      <c r="V35" s="111">
        <v>2862.9492</v>
      </c>
      <c r="W35" s="111">
        <v>42713.939299999998</v>
      </c>
      <c r="X35" s="111">
        <v>105312.7922</v>
      </c>
      <c r="Y35" s="111">
        <v>134980</v>
      </c>
      <c r="Z35" s="111">
        <v>162596.427</v>
      </c>
      <c r="AA35" s="111">
        <v>245194</v>
      </c>
      <c r="AB35" s="111">
        <v>2274.3720199999998</v>
      </c>
      <c r="AC35" s="111">
        <v>5919.8490000000002</v>
      </c>
      <c r="AD35" s="111">
        <v>861.36238000000003</v>
      </c>
      <c r="AE35" s="111">
        <v>96.806600000000003</v>
      </c>
      <c r="AF35" s="181">
        <v>0</v>
      </c>
      <c r="AG35" s="185"/>
    </row>
    <row r="36" spans="1:33" ht="17.25" customHeight="1" thickBot="1" x14ac:dyDescent="0.3">
      <c r="A36" s="119">
        <v>41987</v>
      </c>
      <c r="B36" s="108">
        <v>5968.1756999999998</v>
      </c>
      <c r="C36" s="108">
        <v>494.77940000000001</v>
      </c>
      <c r="D36" s="108">
        <v>14.006399999999999</v>
      </c>
      <c r="E36" s="108">
        <v>3541.9787900000001</v>
      </c>
      <c r="F36" s="108">
        <v>612165.38152000005</v>
      </c>
      <c r="G36" s="108">
        <v>7773.1815999999981</v>
      </c>
      <c r="H36" s="108">
        <v>28574.524890000001</v>
      </c>
      <c r="I36" s="108">
        <v>4017.1949499999996</v>
      </c>
      <c r="J36" s="108">
        <v>1192.173</v>
      </c>
      <c r="K36" s="108">
        <v>4477.8521900000005</v>
      </c>
      <c r="L36" s="108">
        <v>56395.321999999986</v>
      </c>
      <c r="M36" s="108">
        <v>11613.734</v>
      </c>
      <c r="N36" s="108">
        <v>5673.8688700000002</v>
      </c>
      <c r="O36" s="108">
        <v>299.13249999999999</v>
      </c>
      <c r="P36" s="109" t="s">
        <v>168</v>
      </c>
      <c r="Q36" s="108">
        <v>1014.2924600000001</v>
      </c>
      <c r="R36" s="108">
        <v>161351.29999999999</v>
      </c>
      <c r="S36" s="108">
        <v>9252.0028000000002</v>
      </c>
      <c r="T36" s="108">
        <v>7129.7359999999999</v>
      </c>
      <c r="U36" s="108">
        <v>1476.7736300000001</v>
      </c>
      <c r="V36" s="108">
        <v>6031.4250499999998</v>
      </c>
      <c r="W36" s="108">
        <v>26366.810799999999</v>
      </c>
      <c r="X36" s="108">
        <v>128353.96679999999</v>
      </c>
      <c r="Y36" s="108">
        <v>176360.1795</v>
      </c>
      <c r="Z36" s="108">
        <v>160058.69358999998</v>
      </c>
      <c r="AA36" s="108">
        <v>208160</v>
      </c>
      <c r="AB36" s="108">
        <v>2687.2395499999993</v>
      </c>
      <c r="AC36" s="108">
        <v>3433.7744000000002</v>
      </c>
      <c r="AD36" s="108">
        <v>952.86763999999994</v>
      </c>
      <c r="AE36" s="108">
        <v>445.95918999999998</v>
      </c>
      <c r="AF36" s="182">
        <v>150</v>
      </c>
      <c r="AG36" s="185"/>
    </row>
    <row r="37" spans="1:33" ht="17.25" customHeight="1" x14ac:dyDescent="0.25">
      <c r="A37" s="118">
        <v>42019</v>
      </c>
      <c r="B37" s="114">
        <v>7114.4306000000006</v>
      </c>
      <c r="C37" s="114">
        <v>105.68640000000001</v>
      </c>
      <c r="D37" s="114">
        <v>17</v>
      </c>
      <c r="E37" s="114">
        <v>6637.9951000000001</v>
      </c>
      <c r="F37" s="114">
        <v>445276.92206000001</v>
      </c>
      <c r="G37" s="114">
        <v>13283.767</v>
      </c>
      <c r="H37" s="114">
        <v>60946.992160000002</v>
      </c>
      <c r="I37" s="114">
        <v>4048.9937399999994</v>
      </c>
      <c r="J37" s="114">
        <v>40233.395200000006</v>
      </c>
      <c r="K37" s="114">
        <v>7720.8194600000006</v>
      </c>
      <c r="L37" s="114">
        <v>5411.1530000000002</v>
      </c>
      <c r="M37" s="114">
        <v>422.37383999999997</v>
      </c>
      <c r="N37" s="114">
        <v>8809.264360000001</v>
      </c>
      <c r="O37" s="114">
        <v>889.71</v>
      </c>
      <c r="P37" s="115" t="s">
        <v>168</v>
      </c>
      <c r="Q37" s="114">
        <v>3850.1759000000006</v>
      </c>
      <c r="R37" s="114">
        <v>124933.70999999999</v>
      </c>
      <c r="S37" s="114">
        <v>12115.460499999999</v>
      </c>
      <c r="T37" s="114">
        <v>75873.28820000001</v>
      </c>
      <c r="U37" s="114">
        <v>5586.7505000000001</v>
      </c>
      <c r="V37" s="114">
        <v>3268.3053</v>
      </c>
      <c r="W37" s="114">
        <v>42705.643399999994</v>
      </c>
      <c r="X37" s="114">
        <v>83568.739199999996</v>
      </c>
      <c r="Y37" s="114">
        <v>132743.76032</v>
      </c>
      <c r="Z37" s="114">
        <v>151767.87166</v>
      </c>
      <c r="AA37" s="114">
        <v>133526.61479999998</v>
      </c>
      <c r="AB37" s="114">
        <v>3583.923299999999</v>
      </c>
      <c r="AC37" s="114">
        <v>54139.640600000006</v>
      </c>
      <c r="AD37" s="114">
        <v>4280.42202</v>
      </c>
      <c r="AE37" s="91">
        <v>243.92726000000002</v>
      </c>
      <c r="AF37" s="180">
        <v>-200</v>
      </c>
      <c r="AG37" s="185"/>
    </row>
    <row r="38" spans="1:33" ht="17.25" customHeight="1" x14ac:dyDescent="0.25">
      <c r="A38" s="117">
        <v>42050</v>
      </c>
      <c r="B38" s="111">
        <v>2009.5335</v>
      </c>
      <c r="C38" s="111">
        <v>19078.294559999998</v>
      </c>
      <c r="D38" s="111">
        <v>1.4170499999999999</v>
      </c>
      <c r="E38" s="111">
        <v>11012.01656</v>
      </c>
      <c r="F38" s="111">
        <v>439520.50283999997</v>
      </c>
      <c r="G38" s="111">
        <v>11129.164299999999</v>
      </c>
      <c r="H38" s="111">
        <v>71036.96974</v>
      </c>
      <c r="I38" s="111">
        <v>6645.2084999999997</v>
      </c>
      <c r="J38" s="111">
        <v>797.64848999999981</v>
      </c>
      <c r="K38" s="111">
        <v>11284.227269999999</v>
      </c>
      <c r="L38" s="111">
        <v>3057.69</v>
      </c>
      <c r="M38" s="111">
        <v>1257.3440000000001</v>
      </c>
      <c r="N38" s="111">
        <v>2658.7350500000002</v>
      </c>
      <c r="O38" s="111">
        <v>5339.5950000000003</v>
      </c>
      <c r="P38" s="112" t="s">
        <v>168</v>
      </c>
      <c r="Q38" s="111">
        <v>7158.7806200000005</v>
      </c>
      <c r="R38" s="111">
        <v>111988</v>
      </c>
      <c r="S38" s="111">
        <v>24552.234009999993</v>
      </c>
      <c r="T38" s="111">
        <v>45556.223839999999</v>
      </c>
      <c r="U38" s="111">
        <v>14794.295460000003</v>
      </c>
      <c r="V38" s="111">
        <v>8704.4006900000004</v>
      </c>
      <c r="W38" s="111">
        <v>10728.671400000001</v>
      </c>
      <c r="X38" s="111">
        <v>240658.59226</v>
      </c>
      <c r="Y38" s="111">
        <v>111531.73011</v>
      </c>
      <c r="Z38" s="111">
        <v>117689.50623</v>
      </c>
      <c r="AA38" s="111">
        <v>118933</v>
      </c>
      <c r="AB38" s="111">
        <v>4469.9378500000003</v>
      </c>
      <c r="AC38" s="111">
        <v>24024.325150000001</v>
      </c>
      <c r="AD38" s="111">
        <v>23123.895189999999</v>
      </c>
      <c r="AE38" s="111">
        <v>126.33387</v>
      </c>
      <c r="AF38" s="181">
        <v>300</v>
      </c>
      <c r="AG38" s="185"/>
    </row>
    <row r="39" spans="1:33" ht="17.25" customHeight="1" thickBot="1" x14ac:dyDescent="0.3">
      <c r="A39" s="116">
        <v>42078</v>
      </c>
      <c r="B39" s="108">
        <v>30915.259500000004</v>
      </c>
      <c r="C39" s="108">
        <v>31388.719649999995</v>
      </c>
      <c r="D39" s="108">
        <v>2552.4560999999999</v>
      </c>
      <c r="E39" s="108">
        <v>10487.734389999996</v>
      </c>
      <c r="F39" s="108">
        <v>364145.61593999999</v>
      </c>
      <c r="G39" s="108">
        <v>10918.019050000001</v>
      </c>
      <c r="H39" s="108">
        <v>93727.019719999982</v>
      </c>
      <c r="I39" s="108">
        <v>13050.884959999998</v>
      </c>
      <c r="J39" s="108">
        <v>13067.235639999999</v>
      </c>
      <c r="K39" s="108">
        <v>9714.7187799999992</v>
      </c>
      <c r="L39" s="108">
        <v>5615.1562000000004</v>
      </c>
      <c r="M39" s="108">
        <v>305.28316000000001</v>
      </c>
      <c r="N39" s="108">
        <v>15484.73775</v>
      </c>
      <c r="O39" s="108">
        <v>2421.0610000000006</v>
      </c>
      <c r="P39" s="109" t="s">
        <v>168</v>
      </c>
      <c r="Q39" s="108">
        <v>4678.6979299999994</v>
      </c>
      <c r="R39" s="108">
        <v>122395.7696</v>
      </c>
      <c r="S39" s="108">
        <v>24943.852360000001</v>
      </c>
      <c r="T39" s="108">
        <v>27148.466960000002</v>
      </c>
      <c r="U39" s="108">
        <v>21769.295610000001</v>
      </c>
      <c r="V39" s="108">
        <v>41918.0599</v>
      </c>
      <c r="W39" s="108">
        <v>19771.725199999997</v>
      </c>
      <c r="X39" s="108">
        <v>80955.570500000002</v>
      </c>
      <c r="Y39" s="108">
        <v>140126.8554</v>
      </c>
      <c r="Z39" s="108">
        <v>130330.76876000001</v>
      </c>
      <c r="AA39" s="108">
        <v>345732.3456</v>
      </c>
      <c r="AB39" s="108">
        <v>13001.919299999998</v>
      </c>
      <c r="AC39" s="108">
        <v>63377.895879999996</v>
      </c>
      <c r="AD39" s="108">
        <v>22101.732900000003</v>
      </c>
      <c r="AE39" s="108">
        <v>-162.20984000000004</v>
      </c>
      <c r="AF39" s="182">
        <v>2348.3325999999997</v>
      </c>
      <c r="AG39" s="185"/>
    </row>
    <row r="40" spans="1:33" ht="17.25" customHeight="1" x14ac:dyDescent="0.25">
      <c r="A40" s="113">
        <v>42109</v>
      </c>
      <c r="B40" s="114">
        <v>8811.4660000000003</v>
      </c>
      <c r="C40" s="114" t="s">
        <v>207</v>
      </c>
      <c r="D40" s="114">
        <v>45489.819400000008</v>
      </c>
      <c r="E40" s="114">
        <v>10299.19613</v>
      </c>
      <c r="F40" s="114">
        <v>376340.38428</v>
      </c>
      <c r="G40" s="114">
        <v>10221.483799999998</v>
      </c>
      <c r="H40" s="114">
        <v>157295.12386999995</v>
      </c>
      <c r="I40" s="114">
        <v>9016.2241900000008</v>
      </c>
      <c r="J40" s="114">
        <v>15574.86832</v>
      </c>
      <c r="K40" s="114">
        <v>24047.630859999997</v>
      </c>
      <c r="L40" s="114">
        <v>18417.117699999999</v>
      </c>
      <c r="M40" s="114">
        <v>5647.0429999999997</v>
      </c>
      <c r="N40" s="114">
        <v>2228.6293000000001</v>
      </c>
      <c r="O40" s="114">
        <v>2504.5050000000006</v>
      </c>
      <c r="P40" s="115" t="s">
        <v>168</v>
      </c>
      <c r="Q40" s="114">
        <v>9153.1814999999988</v>
      </c>
      <c r="R40" s="114">
        <v>122377</v>
      </c>
      <c r="S40" s="114">
        <v>28006.102919999998</v>
      </c>
      <c r="T40" s="114">
        <v>65543.007119999995</v>
      </c>
      <c r="U40" s="114">
        <v>38578.324269999997</v>
      </c>
      <c r="V40" s="114">
        <v>13741.3549</v>
      </c>
      <c r="W40" s="114">
        <v>21813.421900000001</v>
      </c>
      <c r="X40" s="114">
        <v>256782.32499999998</v>
      </c>
      <c r="Y40" s="114">
        <v>174425.5208</v>
      </c>
      <c r="Z40" s="114">
        <v>173665.40411999999</v>
      </c>
      <c r="AA40" s="114">
        <v>446922.18479999999</v>
      </c>
      <c r="AB40" s="114">
        <v>14905.448200000003</v>
      </c>
      <c r="AC40" s="114">
        <v>152166.42672000002</v>
      </c>
      <c r="AD40" s="114">
        <v>16126.471820000002</v>
      </c>
      <c r="AE40" s="91">
        <v>455.69492000000002</v>
      </c>
      <c r="AF40" s="180">
        <v>150</v>
      </c>
      <c r="AG40" s="185"/>
    </row>
    <row r="41" spans="1:33" ht="17.25" customHeight="1" x14ac:dyDescent="0.25">
      <c r="A41" s="110">
        <v>42139</v>
      </c>
      <c r="B41" s="111">
        <v>443.63639999999998</v>
      </c>
      <c r="C41" s="111">
        <v>2797.6785</v>
      </c>
      <c r="D41" s="111">
        <v>115</v>
      </c>
      <c r="E41" s="111">
        <v>4569.6324500000001</v>
      </c>
      <c r="F41" s="111">
        <v>189040.99839999998</v>
      </c>
      <c r="G41" s="111">
        <v>4945.5351499999997</v>
      </c>
      <c r="H41" s="111">
        <v>96082.072849999997</v>
      </c>
      <c r="I41" s="111">
        <v>2814.6058500000004</v>
      </c>
      <c r="J41" s="111">
        <v>17781.701399999994</v>
      </c>
      <c r="K41" s="111">
        <v>7282.6770099999994</v>
      </c>
      <c r="L41" s="111">
        <v>25316.456200000001</v>
      </c>
      <c r="M41" s="111">
        <v>945.72940000000006</v>
      </c>
      <c r="N41" s="111">
        <v>8403.768759999999</v>
      </c>
      <c r="O41" s="111">
        <v>889.70500000000004</v>
      </c>
      <c r="P41" s="112" t="s">
        <v>168</v>
      </c>
      <c r="Q41" s="111">
        <v>1717.17661</v>
      </c>
      <c r="R41" s="111">
        <v>76674</v>
      </c>
      <c r="S41" s="111">
        <v>11315.016389999999</v>
      </c>
      <c r="T41" s="111">
        <v>27567.336579999996</v>
      </c>
      <c r="U41" s="111">
        <v>35415.225489999997</v>
      </c>
      <c r="V41" s="111">
        <v>13799.857</v>
      </c>
      <c r="W41" s="111">
        <v>4865.4493999999995</v>
      </c>
      <c r="X41" s="111">
        <v>45649.769659999998</v>
      </c>
      <c r="Y41" s="111">
        <v>94056</v>
      </c>
      <c r="Z41" s="111">
        <v>81279.140740000003</v>
      </c>
      <c r="AA41" s="111">
        <v>195544</v>
      </c>
      <c r="AB41" s="111">
        <v>5124.9059199999992</v>
      </c>
      <c r="AC41" s="111">
        <v>38123.707450000002</v>
      </c>
      <c r="AD41" s="111">
        <v>14821.227909999996</v>
      </c>
      <c r="AE41" s="111">
        <v>289.81954000000002</v>
      </c>
      <c r="AF41" s="181">
        <v>0</v>
      </c>
      <c r="AG41" s="185"/>
    </row>
    <row r="42" spans="1:33" ht="17.25" customHeight="1" thickBot="1" x14ac:dyDescent="0.3">
      <c r="A42" s="107">
        <v>42170</v>
      </c>
      <c r="B42" s="108">
        <v>2058.2469000000001</v>
      </c>
      <c r="C42" s="108">
        <v>467.72269999999997</v>
      </c>
      <c r="D42" s="108">
        <v>54430.647200000007</v>
      </c>
      <c r="E42" s="108">
        <v>2640.7879600000001</v>
      </c>
      <c r="F42" s="108">
        <v>55288.028899999998</v>
      </c>
      <c r="G42" s="108">
        <v>6623.2277999999997</v>
      </c>
      <c r="H42" s="108">
        <v>69066.659599999999</v>
      </c>
      <c r="I42" s="108">
        <v>4305.0510000000004</v>
      </c>
      <c r="J42" s="108">
        <v>14431.3164</v>
      </c>
      <c r="K42" s="108">
        <v>11918.838229999998</v>
      </c>
      <c r="L42" s="108">
        <v>38718.247500000005</v>
      </c>
      <c r="M42" s="108">
        <v>269.79999999999973</v>
      </c>
      <c r="N42" s="108">
        <v>16450.0013</v>
      </c>
      <c r="O42" s="108">
        <v>387.20074999999997</v>
      </c>
      <c r="P42" s="109" t="s">
        <v>168</v>
      </c>
      <c r="Q42" s="108">
        <v>4825.780960000001</v>
      </c>
      <c r="R42" s="108">
        <v>22625</v>
      </c>
      <c r="S42" s="108">
        <v>14990.095899999998</v>
      </c>
      <c r="T42" s="108">
        <v>25548.997800000001</v>
      </c>
      <c r="U42" s="108">
        <v>9990.8266199999998</v>
      </c>
      <c r="V42" s="108">
        <v>5719.10185</v>
      </c>
      <c r="W42" s="108">
        <v>1890</v>
      </c>
      <c r="X42" s="108">
        <v>64108.994399999996</v>
      </c>
      <c r="Y42" s="108">
        <v>30015</v>
      </c>
      <c r="Z42" s="108">
        <v>5481.5555999999997</v>
      </c>
      <c r="AA42" s="108">
        <v>49837</v>
      </c>
      <c r="AB42" s="108">
        <v>-6228.4741999999933</v>
      </c>
      <c r="AC42" s="108">
        <v>43036.433099999995</v>
      </c>
      <c r="AD42" s="108">
        <v>3805.4954599999996</v>
      </c>
      <c r="AE42" s="108">
        <v>181.63060000000002</v>
      </c>
      <c r="AF42" s="182">
        <v>0</v>
      </c>
      <c r="AG42" s="185"/>
    </row>
    <row r="43" spans="1:33" ht="17.25" customHeight="1" x14ac:dyDescent="0.25">
      <c r="A43" s="123">
        <v>42200</v>
      </c>
      <c r="B43" s="111">
        <v>879.33609999999999</v>
      </c>
      <c r="C43" s="111">
        <v>2395.2209000000007</v>
      </c>
      <c r="D43" s="111">
        <v>48740.30279999999</v>
      </c>
      <c r="E43" s="111">
        <v>4600.0756099999999</v>
      </c>
      <c r="F43" s="111">
        <v>19165.729429999999</v>
      </c>
      <c r="G43" s="111">
        <v>6730.6342000000013</v>
      </c>
      <c r="H43" s="111">
        <v>87446.86348</v>
      </c>
      <c r="I43" s="111">
        <v>2255.6361499999998</v>
      </c>
      <c r="J43" s="111">
        <v>7794.2575000000006</v>
      </c>
      <c r="K43" s="111">
        <v>11555.32186</v>
      </c>
      <c r="L43" s="111">
        <v>16843.540199999999</v>
      </c>
      <c r="M43" s="111">
        <v>6701.6545999999998</v>
      </c>
      <c r="N43" s="111">
        <v>8809.264360000001</v>
      </c>
      <c r="O43" s="111">
        <v>4759.3245000000006</v>
      </c>
      <c r="P43" s="112" t="s">
        <v>168</v>
      </c>
      <c r="Q43" s="111">
        <v>2974.2430199999999</v>
      </c>
      <c r="R43" s="111">
        <v>6238</v>
      </c>
      <c r="S43" s="111">
        <v>14499.525510000001</v>
      </c>
      <c r="T43" s="111">
        <v>35767.892069999994</v>
      </c>
      <c r="U43" s="111">
        <v>12165.193679999998</v>
      </c>
      <c r="V43" s="111">
        <v>16658.696799999998</v>
      </c>
      <c r="W43" s="111">
        <v>-4951</v>
      </c>
      <c r="X43" s="111">
        <v>22641.412100000001</v>
      </c>
      <c r="Y43" s="111">
        <v>75.791960000000003</v>
      </c>
      <c r="Z43" s="111">
        <v>711.1979</v>
      </c>
      <c r="AA43" s="111">
        <v>25235.715</v>
      </c>
      <c r="AB43" s="111">
        <v>12420.44175</v>
      </c>
      <c r="AC43" s="111">
        <v>36109.511280000006</v>
      </c>
      <c r="AD43" s="111">
        <v>5431.30303</v>
      </c>
      <c r="AE43" s="91">
        <v>12.768849999999929</v>
      </c>
      <c r="AF43" s="180">
        <v>0</v>
      </c>
      <c r="AG43" s="185"/>
    </row>
    <row r="44" spans="1:33" ht="17.25" customHeight="1" x14ac:dyDescent="0.25">
      <c r="A44" s="123">
        <v>42231</v>
      </c>
      <c r="B44" s="111">
        <v>4200.4375</v>
      </c>
      <c r="C44" s="111">
        <v>587.18518000000006</v>
      </c>
      <c r="D44" s="111">
        <v>75</v>
      </c>
      <c r="E44" s="111">
        <v>1083.10698</v>
      </c>
      <c r="F44" s="111">
        <v>21093.327679999999</v>
      </c>
      <c r="G44" s="111">
        <v>7124.7807999999995</v>
      </c>
      <c r="H44" s="111">
        <v>47509.562079999989</v>
      </c>
      <c r="I44" s="111">
        <v>1597.7964400000001</v>
      </c>
      <c r="J44" s="111">
        <v>61113.7376</v>
      </c>
      <c r="K44" s="111">
        <v>5990.3895699999994</v>
      </c>
      <c r="L44" s="111">
        <v>14064.869500000001</v>
      </c>
      <c r="M44" s="111">
        <v>120.2985</v>
      </c>
      <c r="N44" s="111">
        <v>2658.7350500000002</v>
      </c>
      <c r="O44" s="111">
        <v>96.072499999999991</v>
      </c>
      <c r="P44" s="112" t="s">
        <v>168</v>
      </c>
      <c r="Q44" s="111">
        <v>1775.0438200000001</v>
      </c>
      <c r="R44" s="111">
        <v>3813</v>
      </c>
      <c r="S44" s="111">
        <v>22224.121760000002</v>
      </c>
      <c r="T44" s="111">
        <v>8801.373520000001</v>
      </c>
      <c r="U44" s="111">
        <v>18406.560300000001</v>
      </c>
      <c r="V44" s="111">
        <v>4740.1915500000005</v>
      </c>
      <c r="W44" s="111">
        <v>0</v>
      </c>
      <c r="X44" s="111">
        <v>3293.3866399999997</v>
      </c>
      <c r="Y44" s="111">
        <v>4990</v>
      </c>
      <c r="Z44" s="111">
        <v>29155.721809999999</v>
      </c>
      <c r="AA44" s="111">
        <v>12432.184799999999</v>
      </c>
      <c r="AB44" s="111">
        <v>1944.75685</v>
      </c>
      <c r="AC44" s="111">
        <v>21644.000480000002</v>
      </c>
      <c r="AD44" s="111">
        <v>2187.1886600000003</v>
      </c>
      <c r="AE44" s="111">
        <v>323.17361</v>
      </c>
      <c r="AF44" s="181">
        <v>15</v>
      </c>
      <c r="AG44" s="185"/>
    </row>
    <row r="45" spans="1:33" ht="17.25" customHeight="1" thickBot="1" x14ac:dyDescent="0.3">
      <c r="A45" s="122">
        <v>42262</v>
      </c>
      <c r="B45" s="108">
        <v>6430.5978999999998</v>
      </c>
      <c r="C45" s="108">
        <v>2787.9255000000003</v>
      </c>
      <c r="D45" s="108">
        <v>28.382400000000001</v>
      </c>
      <c r="E45" s="108">
        <v>2248.4661900000006</v>
      </c>
      <c r="F45" s="108">
        <v>116469.20939999999</v>
      </c>
      <c r="G45" s="108">
        <v>10016.2415</v>
      </c>
      <c r="H45" s="108">
        <v>80389.88413999998</v>
      </c>
      <c r="I45" s="108">
        <v>2930.4992499999998</v>
      </c>
      <c r="J45" s="108">
        <v>6868.8557800000008</v>
      </c>
      <c r="K45" s="108">
        <v>9971.3870400000014</v>
      </c>
      <c r="L45" s="108">
        <v>8055.7373999999991</v>
      </c>
      <c r="M45" s="108">
        <v>12039.258</v>
      </c>
      <c r="N45" s="108">
        <v>15484.73775</v>
      </c>
      <c r="O45" s="108">
        <v>408.78500000000003</v>
      </c>
      <c r="P45" s="109" t="s">
        <v>168</v>
      </c>
      <c r="Q45" s="108">
        <v>1161.0646599999998</v>
      </c>
      <c r="R45" s="108">
        <v>48675</v>
      </c>
      <c r="S45" s="108">
        <v>28942.290280000001</v>
      </c>
      <c r="T45" s="108">
        <v>24252.825780000003</v>
      </c>
      <c r="U45" s="108">
        <v>26506.278120000006</v>
      </c>
      <c r="V45" s="108">
        <v>3407.4308499999997</v>
      </c>
      <c r="W45" s="108">
        <v>1492.6414</v>
      </c>
      <c r="X45" s="108">
        <v>33006.171300000002</v>
      </c>
      <c r="Y45" s="108">
        <v>74930.071309999999</v>
      </c>
      <c r="Z45" s="108">
        <v>58268.591710000001</v>
      </c>
      <c r="AA45" s="108">
        <v>112444</v>
      </c>
      <c r="AB45" s="108">
        <v>-8981.7614000000012</v>
      </c>
      <c r="AC45" s="108">
        <v>20181.34158</v>
      </c>
      <c r="AD45" s="108">
        <v>9441.8028099999992</v>
      </c>
      <c r="AE45" s="108">
        <v>118.06441000000001</v>
      </c>
      <c r="AF45" s="182">
        <v>47.7</v>
      </c>
      <c r="AG45" s="185"/>
    </row>
    <row r="46" spans="1:33" ht="17.25" customHeight="1" x14ac:dyDescent="0.25">
      <c r="A46" s="121">
        <v>42292</v>
      </c>
      <c r="B46" s="114">
        <v>-3079.909200000001</v>
      </c>
      <c r="C46" s="114">
        <v>-1486.7393199999997</v>
      </c>
      <c r="D46" s="114">
        <v>61.7044</v>
      </c>
      <c r="E46" s="114">
        <v>3888.1289200000001</v>
      </c>
      <c r="F46" s="114">
        <v>485642.17180000001</v>
      </c>
      <c r="G46" s="114">
        <v>3812.8856000000001</v>
      </c>
      <c r="H46" s="114">
        <v>35481.96</v>
      </c>
      <c r="I46" s="114">
        <v>3785.8807999999999</v>
      </c>
      <c r="J46" s="114">
        <v>12421.734400000001</v>
      </c>
      <c r="K46" s="114">
        <v>6403.3728200000005</v>
      </c>
      <c r="L46" s="114">
        <v>24241.256800000003</v>
      </c>
      <c r="M46" s="114">
        <v>-5498.2394000000004</v>
      </c>
      <c r="N46" s="114">
        <v>2228.6293000000001</v>
      </c>
      <c r="O46" s="114">
        <v>559.46</v>
      </c>
      <c r="P46" s="115" t="s">
        <v>168</v>
      </c>
      <c r="Q46" s="114">
        <v>2961.3437599999997</v>
      </c>
      <c r="R46" s="114">
        <v>119280</v>
      </c>
      <c r="S46" s="114">
        <v>-15632.196550000001</v>
      </c>
      <c r="T46" s="114">
        <v>11059.097699999998</v>
      </c>
      <c r="U46" s="114">
        <v>4190.5451800000001</v>
      </c>
      <c r="V46" s="114">
        <v>7004.330939999998</v>
      </c>
      <c r="W46" s="114">
        <v>36079.729599999999</v>
      </c>
      <c r="X46" s="114">
        <v>102312.75109999999</v>
      </c>
      <c r="Y46" s="114">
        <v>170297.2286</v>
      </c>
      <c r="Z46" s="114">
        <v>149143.92012</v>
      </c>
      <c r="AA46" s="114">
        <v>272577.67004</v>
      </c>
      <c r="AB46" s="114">
        <v>4139.1185000000005</v>
      </c>
      <c r="AC46" s="114">
        <v>8757.7242499999993</v>
      </c>
      <c r="AD46" s="114">
        <v>2699.5102200000006</v>
      </c>
      <c r="AE46" s="91">
        <v>348.53422</v>
      </c>
      <c r="AF46" s="180">
        <v>34.5</v>
      </c>
      <c r="AG46" s="185"/>
    </row>
    <row r="47" spans="1:33" ht="17.25" customHeight="1" x14ac:dyDescent="0.25">
      <c r="A47" s="120">
        <v>42323</v>
      </c>
      <c r="B47" s="111">
        <v>516.86930000000007</v>
      </c>
      <c r="C47" s="111">
        <v>254.1755</v>
      </c>
      <c r="D47" s="111">
        <v>5</v>
      </c>
      <c r="E47" s="111">
        <v>3505.01523</v>
      </c>
      <c r="F47" s="111">
        <v>583082.93507999997</v>
      </c>
      <c r="G47" s="111">
        <v>8457.9821999999986</v>
      </c>
      <c r="H47" s="111">
        <v>40022.562069999993</v>
      </c>
      <c r="I47" s="111">
        <v>203.63264999999998</v>
      </c>
      <c r="J47" s="111">
        <v>7376.5615400000006</v>
      </c>
      <c r="K47" s="111">
        <v>1674.45705</v>
      </c>
      <c r="L47" s="111">
        <v>40737.866999999991</v>
      </c>
      <c r="M47" s="111">
        <v>64.039500000000004</v>
      </c>
      <c r="N47" s="111">
        <v>8403.768759999999</v>
      </c>
      <c r="O47" s="111">
        <v>280.11500000000001</v>
      </c>
      <c r="P47" s="112" t="s">
        <v>168</v>
      </c>
      <c r="Q47" s="111">
        <v>800.09522000000004</v>
      </c>
      <c r="R47" s="111">
        <v>178576</v>
      </c>
      <c r="S47" s="111">
        <v>4958.5235599999996</v>
      </c>
      <c r="T47" s="111">
        <v>12050.780060000001</v>
      </c>
      <c r="U47" s="111">
        <v>6012.8805300000004</v>
      </c>
      <c r="V47" s="111">
        <v>1830.1264000000001</v>
      </c>
      <c r="W47" s="111">
        <v>85296.159</v>
      </c>
      <c r="X47" s="111">
        <v>125620.34393999999</v>
      </c>
      <c r="Y47" s="111">
        <v>200223.13735999999</v>
      </c>
      <c r="Z47" s="111">
        <v>210781.7236</v>
      </c>
      <c r="AA47" s="111">
        <v>285034</v>
      </c>
      <c r="AB47" s="111">
        <v>1002.5556</v>
      </c>
      <c r="AC47" s="111">
        <v>13874.682780000001</v>
      </c>
      <c r="AD47" s="111">
        <v>2249.0293399999996</v>
      </c>
      <c r="AE47" s="111">
        <v>63.750900000000009</v>
      </c>
      <c r="AF47" s="181">
        <v>150</v>
      </c>
      <c r="AG47" s="185"/>
    </row>
    <row r="48" spans="1:33" ht="17.25" customHeight="1" thickBot="1" x14ac:dyDescent="0.3">
      <c r="A48" s="119">
        <v>42353</v>
      </c>
      <c r="B48" s="108">
        <v>84308.6783</v>
      </c>
      <c r="C48" s="108">
        <v>91.535699999999991</v>
      </c>
      <c r="D48" s="108">
        <v>10</v>
      </c>
      <c r="E48" s="108">
        <v>4415.1205599999994</v>
      </c>
      <c r="F48" s="108">
        <v>563193.47080000001</v>
      </c>
      <c r="G48" s="108">
        <v>7928.1654000000008</v>
      </c>
      <c r="H48" s="108">
        <v>36275.738799999999</v>
      </c>
      <c r="I48" s="108">
        <v>2738.5464400000001</v>
      </c>
      <c r="J48" s="108">
        <v>7169.3435799999997</v>
      </c>
      <c r="K48" s="108">
        <v>5629.5182600000007</v>
      </c>
      <c r="L48" s="108">
        <v>31109.462999999996</v>
      </c>
      <c r="M48" s="108">
        <v>64.039500000000004</v>
      </c>
      <c r="N48" s="108">
        <v>16450.0013</v>
      </c>
      <c r="O48" s="108">
        <v>464.61500000000001</v>
      </c>
      <c r="P48" s="109" t="s">
        <v>168</v>
      </c>
      <c r="Q48" s="108">
        <v>1110.4837600000001</v>
      </c>
      <c r="R48" s="108">
        <v>147591</v>
      </c>
      <c r="S48" s="108">
        <v>15177.90724</v>
      </c>
      <c r="T48" s="108">
        <v>12666.524379999999</v>
      </c>
      <c r="U48" s="108">
        <v>3587.0202100000001</v>
      </c>
      <c r="V48" s="108">
        <v>3265.4773</v>
      </c>
      <c r="W48" s="108">
        <v>34767.2376</v>
      </c>
      <c r="X48" s="108">
        <v>91760</v>
      </c>
      <c r="Y48" s="108">
        <v>190005</v>
      </c>
      <c r="Z48" s="108">
        <v>199158.48610000001</v>
      </c>
      <c r="AA48" s="108">
        <v>203134.18479999999</v>
      </c>
      <c r="AB48" s="108">
        <v>731.44345999999996</v>
      </c>
      <c r="AC48" s="108">
        <v>8954.3936200000007</v>
      </c>
      <c r="AD48" s="108">
        <v>824.53269999999998</v>
      </c>
      <c r="AE48" s="108">
        <v>27.378100000000003</v>
      </c>
      <c r="AF48" s="182">
        <v>0</v>
      </c>
      <c r="AG48" s="185"/>
    </row>
    <row r="49" spans="1:33" ht="17.25" customHeight="1" x14ac:dyDescent="0.25">
      <c r="A49" s="118">
        <v>42385</v>
      </c>
      <c r="B49" s="114">
        <v>232.47640000000001</v>
      </c>
      <c r="C49" s="114">
        <v>788.38925000000006</v>
      </c>
      <c r="D49" s="114">
        <v>657.596</v>
      </c>
      <c r="E49" s="114">
        <v>6115.3105999999998</v>
      </c>
      <c r="F49" s="114">
        <v>389748.43280000001</v>
      </c>
      <c r="G49" s="114">
        <v>3358.8181999999997</v>
      </c>
      <c r="H49" s="114">
        <v>46831.670299999998</v>
      </c>
      <c r="I49" s="114">
        <v>2491.2000299999995</v>
      </c>
      <c r="J49" s="114">
        <v>7561.3576799999992</v>
      </c>
      <c r="K49" s="114">
        <v>6445.7091400000008</v>
      </c>
      <c r="L49" s="114">
        <v>35799.754780000003</v>
      </c>
      <c r="M49" s="114">
        <v>0</v>
      </c>
      <c r="N49" s="114">
        <v>5513.8825000000006</v>
      </c>
      <c r="O49" s="114">
        <v>77.174999999999997</v>
      </c>
      <c r="P49" s="115" t="s">
        <v>168</v>
      </c>
      <c r="Q49" s="114">
        <v>2095.5860600000001</v>
      </c>
      <c r="R49" s="114">
        <v>123492</v>
      </c>
      <c r="S49" s="114">
        <v>9418.5285299999996</v>
      </c>
      <c r="T49" s="114">
        <v>7384.9369299999998</v>
      </c>
      <c r="U49" s="114">
        <v>4269.8420800000004</v>
      </c>
      <c r="V49" s="114">
        <v>8610.701500000001</v>
      </c>
      <c r="W49" s="114">
        <v>31025.970799999999</v>
      </c>
      <c r="X49" s="114">
        <v>108509.4218</v>
      </c>
      <c r="Y49" s="114">
        <v>115111.53020000001</v>
      </c>
      <c r="Z49" s="114">
        <v>143736.83970000001</v>
      </c>
      <c r="AA49" s="114">
        <v>138508</v>
      </c>
      <c r="AB49" s="114">
        <v>8555.4465999999993</v>
      </c>
      <c r="AC49" s="114">
        <v>5364.7798900000007</v>
      </c>
      <c r="AD49" s="114">
        <v>2439.4021400000001</v>
      </c>
      <c r="AE49" s="91">
        <v>42.187600000000003</v>
      </c>
      <c r="AF49" s="180">
        <v>109.25</v>
      </c>
      <c r="AG49" s="185"/>
    </row>
    <row r="50" spans="1:33" ht="17.25" customHeight="1" x14ac:dyDescent="0.25">
      <c r="A50" s="117">
        <v>42416</v>
      </c>
      <c r="B50" s="111">
        <v>2460.1393499999999</v>
      </c>
      <c r="C50" s="111">
        <v>26808.286949999998</v>
      </c>
      <c r="D50" s="111">
        <v>281.2276</v>
      </c>
      <c r="E50" s="111">
        <v>13002.215780000004</v>
      </c>
      <c r="F50" s="111">
        <v>635320.23800000001</v>
      </c>
      <c r="G50" s="111">
        <v>14785.383699999997</v>
      </c>
      <c r="H50" s="111">
        <v>77502.321719999993</v>
      </c>
      <c r="I50" s="111">
        <v>10284.800790000005</v>
      </c>
      <c r="J50" s="111">
        <v>18435.266659999998</v>
      </c>
      <c r="K50" s="111">
        <v>7095.6514100000004</v>
      </c>
      <c r="L50" s="111">
        <v>2782.5034000000005</v>
      </c>
      <c r="M50" s="111">
        <v>1348.0395000000001</v>
      </c>
      <c r="N50" s="111">
        <v>2239.3368</v>
      </c>
      <c r="O50" s="111">
        <v>481.71500000000003</v>
      </c>
      <c r="P50" s="112" t="s">
        <v>168</v>
      </c>
      <c r="Q50" s="111">
        <v>3319.9382800000003</v>
      </c>
      <c r="R50" s="111">
        <v>155837.5</v>
      </c>
      <c r="S50" s="111">
        <v>50758.202109999991</v>
      </c>
      <c r="T50" s="111">
        <v>18899.531809999997</v>
      </c>
      <c r="U50" s="111">
        <v>15442.843060000001</v>
      </c>
      <c r="V50" s="111">
        <v>7688.6795499999998</v>
      </c>
      <c r="W50" s="111">
        <v>38262.682199999996</v>
      </c>
      <c r="X50" s="111">
        <v>89344.941800000001</v>
      </c>
      <c r="Y50" s="111">
        <v>157223.10384</v>
      </c>
      <c r="Z50" s="111">
        <v>163352.43327000001</v>
      </c>
      <c r="AA50" s="111">
        <v>90738.164999999994</v>
      </c>
      <c r="AB50" s="111">
        <v>4817.3415599999998</v>
      </c>
      <c r="AC50" s="111">
        <v>16246.666930000003</v>
      </c>
      <c r="AD50" s="111">
        <v>20401.242829999999</v>
      </c>
      <c r="AE50" s="111">
        <v>144.36966999999999</v>
      </c>
      <c r="AF50" s="181">
        <v>0</v>
      </c>
      <c r="AG50" s="185"/>
    </row>
    <row r="51" spans="1:33" ht="17.25" customHeight="1" thickBot="1" x14ac:dyDescent="0.3">
      <c r="A51" s="116">
        <v>42445</v>
      </c>
      <c r="B51" s="108">
        <v>1910.1505999999999</v>
      </c>
      <c r="C51" s="108">
        <v>40093.429179999985</v>
      </c>
      <c r="D51" s="108">
        <v>36495.108399999997</v>
      </c>
      <c r="E51" s="108">
        <v>15007.499080000005</v>
      </c>
      <c r="F51" s="108">
        <v>426964.23442999995</v>
      </c>
      <c r="G51" s="108">
        <v>16365.507500000003</v>
      </c>
      <c r="H51" s="108">
        <v>88694.425789999979</v>
      </c>
      <c r="I51" s="108">
        <v>9407.7864000000009</v>
      </c>
      <c r="J51" s="108">
        <v>70973.921940000015</v>
      </c>
      <c r="K51" s="108">
        <v>10562.42978</v>
      </c>
      <c r="L51" s="108">
        <v>31073.228550000003</v>
      </c>
      <c r="M51" s="108">
        <v>484.03949999999998</v>
      </c>
      <c r="N51" s="108">
        <v>4302.66626</v>
      </c>
      <c r="O51" s="108">
        <v>223.49250000000001</v>
      </c>
      <c r="P51" s="109" t="s">
        <v>168</v>
      </c>
      <c r="Q51" s="108">
        <v>3693.7055600000003</v>
      </c>
      <c r="R51" s="108">
        <v>114330</v>
      </c>
      <c r="S51" s="108">
        <v>71268.688359999986</v>
      </c>
      <c r="T51" s="108">
        <v>41858.286460000003</v>
      </c>
      <c r="U51" s="108">
        <v>20272.450950000006</v>
      </c>
      <c r="V51" s="108">
        <v>48412.264499999997</v>
      </c>
      <c r="W51" s="108">
        <v>30922.016799999998</v>
      </c>
      <c r="X51" s="108">
        <v>121180.82625000001</v>
      </c>
      <c r="Y51" s="108">
        <v>155374.084</v>
      </c>
      <c r="Z51" s="108">
        <v>183069.38046000001</v>
      </c>
      <c r="AA51" s="108">
        <v>312731.76104999997</v>
      </c>
      <c r="AB51" s="108">
        <v>20905.789450000004</v>
      </c>
      <c r="AC51" s="108">
        <v>83473.673679999978</v>
      </c>
      <c r="AD51" s="108">
        <v>15750.61519</v>
      </c>
      <c r="AE51" s="108">
        <v>460.60866000000004</v>
      </c>
      <c r="AF51" s="182">
        <v>3340.7952</v>
      </c>
      <c r="AG51" s="185"/>
    </row>
    <row r="52" spans="1:33" ht="17.25" customHeight="1" x14ac:dyDescent="0.25">
      <c r="A52" s="113">
        <v>42476</v>
      </c>
      <c r="B52" s="114">
        <v>6778.9494000000013</v>
      </c>
      <c r="C52" s="114">
        <v>15714.627200000001</v>
      </c>
      <c r="D52" s="114">
        <v>85</v>
      </c>
      <c r="E52" s="114">
        <v>9075.6717600000011</v>
      </c>
      <c r="F52" s="114">
        <v>405210.86119999998</v>
      </c>
      <c r="G52" s="114">
        <v>11332.528299999998</v>
      </c>
      <c r="H52" s="114">
        <v>162499.46252000003</v>
      </c>
      <c r="I52" s="114">
        <v>6808.5284000000001</v>
      </c>
      <c r="J52" s="114">
        <v>19537.354419999996</v>
      </c>
      <c r="K52" s="114">
        <v>17142.590820000001</v>
      </c>
      <c r="L52" s="114">
        <v>23116.120299999999</v>
      </c>
      <c r="M52" s="114">
        <v>1327.4955</v>
      </c>
      <c r="N52" s="114">
        <v>14363.54235</v>
      </c>
      <c r="O52" s="114">
        <v>445.14499999999998</v>
      </c>
      <c r="P52" s="115" t="s">
        <v>168</v>
      </c>
      <c r="Q52" s="114">
        <v>7699.7619600000007</v>
      </c>
      <c r="R52" s="114">
        <v>123464</v>
      </c>
      <c r="S52" s="114">
        <v>54257.707119999985</v>
      </c>
      <c r="T52" s="114">
        <v>61398.192820000004</v>
      </c>
      <c r="U52" s="114">
        <v>49343.459659999993</v>
      </c>
      <c r="V52" s="114">
        <v>10392.662249999999</v>
      </c>
      <c r="W52" s="114">
        <v>24416.296700000003</v>
      </c>
      <c r="X52" s="114">
        <v>96937</v>
      </c>
      <c r="Y52" s="114">
        <v>140015</v>
      </c>
      <c r="Z52" s="114">
        <v>164243.55531999998</v>
      </c>
      <c r="AA52" s="114">
        <v>378361</v>
      </c>
      <c r="AB52" s="114">
        <v>2801.2492000000002</v>
      </c>
      <c r="AC52" s="114">
        <v>41532.285459999999</v>
      </c>
      <c r="AD52" s="114">
        <v>28495.971940000007</v>
      </c>
      <c r="AE52" s="91">
        <v>531.14182000000005</v>
      </c>
      <c r="AF52" s="180">
        <v>2462.1716000000001</v>
      </c>
      <c r="AG52" s="185"/>
    </row>
    <row r="53" spans="1:33" ht="17.25" customHeight="1" x14ac:dyDescent="0.25">
      <c r="A53" s="110">
        <v>42506</v>
      </c>
      <c r="B53" s="111">
        <v>40641.547200000008</v>
      </c>
      <c r="C53" s="111">
        <v>1755.0704999999998</v>
      </c>
      <c r="D53" s="111">
        <v>25602.346400000002</v>
      </c>
      <c r="E53" s="111">
        <v>5172.3797700000005</v>
      </c>
      <c r="F53" s="111">
        <v>303268.80278000003</v>
      </c>
      <c r="G53" s="111">
        <v>4310</v>
      </c>
      <c r="H53" s="111">
        <v>88167.160979999986</v>
      </c>
      <c r="I53" s="111">
        <v>7603.887099999999</v>
      </c>
      <c r="J53" s="111">
        <v>28119.040280000001</v>
      </c>
      <c r="K53" s="111">
        <v>9867.1612399999995</v>
      </c>
      <c r="L53" s="111">
        <v>6553.8421000000008</v>
      </c>
      <c r="M53" s="111">
        <v>65.034900000000007</v>
      </c>
      <c r="N53" s="111">
        <v>6581.1428599999999</v>
      </c>
      <c r="O53" s="111">
        <v>49.5</v>
      </c>
      <c r="P53" s="112" t="s">
        <v>168</v>
      </c>
      <c r="Q53" s="111">
        <v>3557.6391899999999</v>
      </c>
      <c r="R53" s="111">
        <v>155841.7696</v>
      </c>
      <c r="S53" s="111">
        <v>26414.943439999999</v>
      </c>
      <c r="T53" s="111">
        <v>31131.164299999997</v>
      </c>
      <c r="U53" s="111">
        <v>28026.420609999994</v>
      </c>
      <c r="V53" s="111">
        <v>12925.114100000001</v>
      </c>
      <c r="W53" s="111">
        <v>6404.8923999999997</v>
      </c>
      <c r="X53" s="111">
        <v>69862.809899999993</v>
      </c>
      <c r="Y53" s="111">
        <v>89995</v>
      </c>
      <c r="Z53" s="111">
        <v>197850.21506000002</v>
      </c>
      <c r="AA53" s="111">
        <v>180220.24015999999</v>
      </c>
      <c r="AB53" s="111">
        <v>7707.5461999999989</v>
      </c>
      <c r="AC53" s="111">
        <v>77884.811020000008</v>
      </c>
      <c r="AD53" s="111">
        <v>9964.3528299999998</v>
      </c>
      <c r="AE53" s="111">
        <v>4300.67706</v>
      </c>
      <c r="AF53" s="181">
        <v>1544.0436</v>
      </c>
      <c r="AG53" s="185"/>
    </row>
    <row r="54" spans="1:33" ht="17.25" customHeight="1" thickBot="1" x14ac:dyDescent="0.3">
      <c r="A54" s="107">
        <v>42537</v>
      </c>
      <c r="B54" s="108">
        <v>13048.69585</v>
      </c>
      <c r="C54" s="108">
        <v>1284.93985</v>
      </c>
      <c r="D54" s="108">
        <v>27549.010399999999</v>
      </c>
      <c r="E54" s="108">
        <v>4071.51577</v>
      </c>
      <c r="F54" s="108">
        <v>99162.108600000007</v>
      </c>
      <c r="G54" s="108">
        <v>3176.9860499999995</v>
      </c>
      <c r="H54" s="108">
        <v>131863.13257000005</v>
      </c>
      <c r="I54" s="108">
        <v>13129.943700000002</v>
      </c>
      <c r="J54" s="108">
        <v>22894.786689999994</v>
      </c>
      <c r="K54" s="108">
        <v>16942.957729999998</v>
      </c>
      <c r="L54" s="108">
        <v>5500.0522000000001</v>
      </c>
      <c r="M54" s="108">
        <v>422.84249999999997</v>
      </c>
      <c r="N54" s="108">
        <v>3030.5255999999999</v>
      </c>
      <c r="O54" s="108">
        <v>437.34749999999997</v>
      </c>
      <c r="P54" s="109" t="s">
        <v>168</v>
      </c>
      <c r="Q54" s="108">
        <v>6113.6596199999985</v>
      </c>
      <c r="R54" s="108">
        <v>49854.186450000001</v>
      </c>
      <c r="S54" s="108">
        <v>70639.40284000001</v>
      </c>
      <c r="T54" s="108">
        <v>93125.531390000033</v>
      </c>
      <c r="U54" s="108">
        <v>25231.20407</v>
      </c>
      <c r="V54" s="108">
        <v>8455.6010999999999</v>
      </c>
      <c r="W54" s="108">
        <v>366.44100000000003</v>
      </c>
      <c r="X54" s="108">
        <v>24120</v>
      </c>
      <c r="Y54" s="108">
        <v>10000</v>
      </c>
      <c r="Z54" s="108">
        <v>70162.228709999996</v>
      </c>
      <c r="AA54" s="108">
        <v>28151.003700000001</v>
      </c>
      <c r="AB54" s="108">
        <v>11550.725900000003</v>
      </c>
      <c r="AC54" s="108">
        <v>92934.40317000002</v>
      </c>
      <c r="AD54" s="108">
        <v>9892.3018000000011</v>
      </c>
      <c r="AE54" s="108">
        <v>436.55916000000002</v>
      </c>
      <c r="AF54" s="182">
        <v>150</v>
      </c>
      <c r="AG54" s="185"/>
    </row>
    <row r="55" spans="1:33" ht="17.25" customHeight="1" x14ac:dyDescent="0.25">
      <c r="A55" s="123">
        <v>42567</v>
      </c>
      <c r="B55" s="111">
        <v>8497.719219999999</v>
      </c>
      <c r="C55" s="111">
        <v>1148.4402799999998</v>
      </c>
      <c r="D55" s="111">
        <v>71067.522800000006</v>
      </c>
      <c r="E55" s="111">
        <v>2462.1032600000003</v>
      </c>
      <c r="F55" s="111">
        <v>113175.27903000001</v>
      </c>
      <c r="G55" s="111">
        <v>2623.3117999999999</v>
      </c>
      <c r="H55" s="111">
        <v>55435.367649999986</v>
      </c>
      <c r="I55" s="111">
        <v>4994.3539099999989</v>
      </c>
      <c r="J55" s="111">
        <v>11461.9704</v>
      </c>
      <c r="K55" s="111">
        <v>5732.30501</v>
      </c>
      <c r="L55" s="111">
        <v>2987.9713499999998</v>
      </c>
      <c r="M55" s="111">
        <v>76.009500000000003</v>
      </c>
      <c r="N55" s="111">
        <v>3294.2431999999999</v>
      </c>
      <c r="O55" s="111">
        <v>77.174999999999997</v>
      </c>
      <c r="P55" s="112" t="s">
        <v>168</v>
      </c>
      <c r="Q55" s="111">
        <v>2440.9552400000002</v>
      </c>
      <c r="R55" s="111">
        <v>83823</v>
      </c>
      <c r="S55" s="111">
        <v>25532.839059999998</v>
      </c>
      <c r="T55" s="111">
        <v>29178.639770000002</v>
      </c>
      <c r="U55" s="111">
        <v>8203.5868399999999</v>
      </c>
      <c r="V55" s="111">
        <v>13590.421499999999</v>
      </c>
      <c r="W55" s="111">
        <v>3150</v>
      </c>
      <c r="X55" s="111">
        <v>24894.02922</v>
      </c>
      <c r="Y55" s="111">
        <v>69.888000000000005</v>
      </c>
      <c r="Z55" s="111">
        <v>50663.196759999999</v>
      </c>
      <c r="AA55" s="111">
        <v>18562.07936</v>
      </c>
      <c r="AB55" s="111">
        <v>17271.187050000004</v>
      </c>
      <c r="AC55" s="111">
        <v>27363.912280000004</v>
      </c>
      <c r="AD55" s="111">
        <v>5510.6819799999994</v>
      </c>
      <c r="AE55" s="91">
        <v>347.29826000000003</v>
      </c>
      <c r="AF55" s="180">
        <v>225</v>
      </c>
      <c r="AG55" s="185"/>
    </row>
    <row r="56" spans="1:33" ht="17.25" customHeight="1" x14ac:dyDescent="0.25">
      <c r="A56" s="123">
        <v>42598</v>
      </c>
      <c r="B56" s="111">
        <v>2737.3335999999999</v>
      </c>
      <c r="C56" s="111">
        <v>462.48710000000005</v>
      </c>
      <c r="D56" s="111">
        <v>75</v>
      </c>
      <c r="E56" s="111">
        <v>3586.0252999999998</v>
      </c>
      <c r="F56" s="111">
        <v>52782.05290000001</v>
      </c>
      <c r="G56" s="111">
        <v>4196.7423000000008</v>
      </c>
      <c r="H56" s="111">
        <v>68187.354289999988</v>
      </c>
      <c r="I56" s="111">
        <v>2674.2318500000001</v>
      </c>
      <c r="J56" s="111">
        <v>9290.7464299999992</v>
      </c>
      <c r="K56" s="111">
        <v>3359.7148400000001</v>
      </c>
      <c r="L56" s="111">
        <v>15097.531300000001</v>
      </c>
      <c r="M56" s="111">
        <v>555.41100000000006</v>
      </c>
      <c r="N56" s="111">
        <v>4068.9567499999998</v>
      </c>
      <c r="O56" s="111">
        <v>481.71500000000003</v>
      </c>
      <c r="P56" s="112" t="s">
        <v>168</v>
      </c>
      <c r="Q56" s="111">
        <v>702.87666000000002</v>
      </c>
      <c r="R56" s="111">
        <v>12280.636200000001</v>
      </c>
      <c r="S56" s="111">
        <v>6669.4412499999989</v>
      </c>
      <c r="T56" s="111">
        <v>17675.179329999999</v>
      </c>
      <c r="U56" s="111">
        <v>21431.727379999997</v>
      </c>
      <c r="V56" s="111">
        <v>5316.3772500000014</v>
      </c>
      <c r="W56" s="111">
        <v>0</v>
      </c>
      <c r="X56" s="111">
        <v>17370</v>
      </c>
      <c r="Y56" s="111">
        <v>9.8879999999999999</v>
      </c>
      <c r="Z56" s="111">
        <v>15234.603500000001</v>
      </c>
      <c r="AA56" s="111">
        <v>16235</v>
      </c>
      <c r="AB56" s="111">
        <v>599.98160000000007</v>
      </c>
      <c r="AC56" s="111">
        <v>22038.126300000004</v>
      </c>
      <c r="AD56" s="111">
        <v>7575.1999999999989</v>
      </c>
      <c r="AE56" s="111">
        <v>70.607900000000001</v>
      </c>
      <c r="AF56" s="181">
        <v>0</v>
      </c>
      <c r="AG56" s="185"/>
    </row>
    <row r="57" spans="1:33" ht="17.25" customHeight="1" thickBot="1" x14ac:dyDescent="0.3">
      <c r="A57" s="122">
        <v>42629</v>
      </c>
      <c r="B57" s="108">
        <v>1259.615</v>
      </c>
      <c r="C57" s="108">
        <v>709.0680000000001</v>
      </c>
      <c r="D57" s="108">
        <v>25</v>
      </c>
      <c r="E57" s="108">
        <v>1452.03334</v>
      </c>
      <c r="F57" s="108">
        <v>147012.89708</v>
      </c>
      <c r="G57" s="108">
        <v>3389.6931599999998</v>
      </c>
      <c r="H57" s="108">
        <v>49868.661519999994</v>
      </c>
      <c r="I57" s="108">
        <v>4616.3565999999992</v>
      </c>
      <c r="J57" s="108">
        <v>9229.742040000001</v>
      </c>
      <c r="K57" s="108">
        <v>6021.2099499999995</v>
      </c>
      <c r="L57" s="108">
        <v>1605.4726599999999</v>
      </c>
      <c r="M57" s="108">
        <v>-949.78149999999982</v>
      </c>
      <c r="N57" s="108">
        <v>8947.9346600000008</v>
      </c>
      <c r="O57" s="108">
        <v>223.49250000000001</v>
      </c>
      <c r="P57" s="109" t="s">
        <v>168</v>
      </c>
      <c r="Q57" s="108">
        <v>1028.9177400000001</v>
      </c>
      <c r="R57" s="108">
        <v>66962</v>
      </c>
      <c r="S57" s="108">
        <v>13920.597309999997</v>
      </c>
      <c r="T57" s="108">
        <v>29905.593009999993</v>
      </c>
      <c r="U57" s="108">
        <v>2984.45091</v>
      </c>
      <c r="V57" s="108">
        <v>6969.0598599999994</v>
      </c>
      <c r="W57" s="108">
        <v>1896</v>
      </c>
      <c r="X57" s="108">
        <v>26665.931499999999</v>
      </c>
      <c r="Y57" s="108">
        <v>30144.90236</v>
      </c>
      <c r="Z57" s="108">
        <v>96329.124100000001</v>
      </c>
      <c r="AA57" s="108">
        <v>65126.079360000003</v>
      </c>
      <c r="AB57" s="108">
        <v>528.36699999999996</v>
      </c>
      <c r="AC57" s="108">
        <v>28107.47133</v>
      </c>
      <c r="AD57" s="108">
        <v>2022.1505000000002</v>
      </c>
      <c r="AE57" s="108">
        <v>75.619599999999991</v>
      </c>
      <c r="AF57" s="182">
        <v>60</v>
      </c>
      <c r="AG57" s="185"/>
    </row>
    <row r="58" spans="1:33" ht="17.25" customHeight="1" x14ac:dyDescent="0.25">
      <c r="A58" s="121">
        <v>42659</v>
      </c>
      <c r="B58" s="114">
        <v>2476.8697000000002</v>
      </c>
      <c r="C58" s="114">
        <v>313.89975000000004</v>
      </c>
      <c r="D58" s="114">
        <v>75</v>
      </c>
      <c r="E58" s="114">
        <v>3592.56603</v>
      </c>
      <c r="F58" s="114">
        <v>610473.90197999997</v>
      </c>
      <c r="G58" s="114">
        <v>10442.52075</v>
      </c>
      <c r="H58" s="114">
        <v>27883.869690000003</v>
      </c>
      <c r="I58" s="114">
        <v>4450.72</v>
      </c>
      <c r="J58" s="114">
        <v>11137.215040000001</v>
      </c>
      <c r="K58" s="114">
        <v>3621.2692000000002</v>
      </c>
      <c r="L58" s="114">
        <v>10435.234</v>
      </c>
      <c r="M58" s="114">
        <v>75.411000000000001</v>
      </c>
      <c r="N58" s="114">
        <v>13524.692999999999</v>
      </c>
      <c r="O58" s="114">
        <v>445.14499999999998</v>
      </c>
      <c r="P58" s="115" t="s">
        <v>168</v>
      </c>
      <c r="Q58" s="114">
        <v>1356.5906099999997</v>
      </c>
      <c r="R58" s="114">
        <v>198148</v>
      </c>
      <c r="S58" s="114">
        <v>9295.4869500000004</v>
      </c>
      <c r="T58" s="114">
        <v>19914.614510000003</v>
      </c>
      <c r="U58" s="114">
        <v>4589.2401000000009</v>
      </c>
      <c r="V58" s="114">
        <v>5834.9913099999994</v>
      </c>
      <c r="W58" s="114">
        <v>56289.533199999991</v>
      </c>
      <c r="X58" s="114">
        <v>103108.74464</v>
      </c>
      <c r="Y58" s="114">
        <v>145172.47966000001</v>
      </c>
      <c r="Z58" s="114">
        <v>218956.79485000001</v>
      </c>
      <c r="AA58" s="114">
        <v>215476.64455999999</v>
      </c>
      <c r="AB58" s="114">
        <v>2195.94292</v>
      </c>
      <c r="AC58" s="114">
        <v>15422.336550000002</v>
      </c>
      <c r="AD58" s="114">
        <v>2430.5545999999999</v>
      </c>
      <c r="AE58" s="91">
        <v>244.53117</v>
      </c>
      <c r="AF58" s="180">
        <v>150</v>
      </c>
      <c r="AG58" s="185"/>
    </row>
    <row r="59" spans="1:33" ht="17.25" customHeight="1" x14ac:dyDescent="0.25">
      <c r="A59" s="120">
        <v>42690</v>
      </c>
      <c r="B59" s="111">
        <v>121902.65849999999</v>
      </c>
      <c r="C59" s="111">
        <v>111.99977999999999</v>
      </c>
      <c r="D59" s="111">
        <v>1632.296</v>
      </c>
      <c r="E59" s="111">
        <v>3869.1428600000008</v>
      </c>
      <c r="F59" s="111">
        <v>495397.23600000003</v>
      </c>
      <c r="G59" s="111">
        <v>4228.4623599999995</v>
      </c>
      <c r="H59" s="111">
        <v>27157.038699999997</v>
      </c>
      <c r="I59" s="111">
        <v>1862.65211</v>
      </c>
      <c r="J59" s="111">
        <v>39173.551509999998</v>
      </c>
      <c r="K59" s="111">
        <v>2928.7131099999992</v>
      </c>
      <c r="L59" s="111">
        <v>30072.469799999999</v>
      </c>
      <c r="M59" s="111">
        <v>629.03289999999993</v>
      </c>
      <c r="N59" s="111">
        <v>38158.505550000002</v>
      </c>
      <c r="O59" s="111">
        <v>49.5</v>
      </c>
      <c r="P59" s="112" t="s">
        <v>168</v>
      </c>
      <c r="Q59" s="111">
        <v>1062.85418</v>
      </c>
      <c r="R59" s="111">
        <v>147176.5</v>
      </c>
      <c r="S59" s="111">
        <v>37198.141529999994</v>
      </c>
      <c r="T59" s="111">
        <v>33763.147330000007</v>
      </c>
      <c r="U59" s="111">
        <v>1388.2468899999999</v>
      </c>
      <c r="V59" s="111">
        <v>6171.8331099999996</v>
      </c>
      <c r="W59" s="111">
        <v>24102.346799999999</v>
      </c>
      <c r="X59" s="111">
        <v>129303.6586</v>
      </c>
      <c r="Y59" s="111">
        <v>190083.93901</v>
      </c>
      <c r="Z59" s="111">
        <v>192210.75604000001</v>
      </c>
      <c r="AA59" s="111">
        <v>283165</v>
      </c>
      <c r="AB59" s="111">
        <v>873.12434000000007</v>
      </c>
      <c r="AC59" s="111">
        <v>27756.346590000005</v>
      </c>
      <c r="AD59" s="111">
        <v>1769.8966200000002</v>
      </c>
      <c r="AE59" s="111">
        <v>291.00051000000002</v>
      </c>
      <c r="AF59" s="181">
        <v>0</v>
      </c>
      <c r="AG59" s="185"/>
    </row>
    <row r="60" spans="1:33" ht="17.25" customHeight="1" thickBot="1" x14ac:dyDescent="0.3">
      <c r="A60" s="119">
        <v>42720</v>
      </c>
      <c r="B60" s="108">
        <v>30265.597999999998</v>
      </c>
      <c r="C60" s="108">
        <v>192.91320000000002</v>
      </c>
      <c r="D60" s="108">
        <v>1636.49</v>
      </c>
      <c r="E60" s="108">
        <v>4564.0861800000002</v>
      </c>
      <c r="F60" s="108">
        <v>381707.27294</v>
      </c>
      <c r="G60" s="108">
        <v>8980.8931399999983</v>
      </c>
      <c r="H60" s="108">
        <v>25642.00848</v>
      </c>
      <c r="I60" s="108">
        <v>2494.6753399999998</v>
      </c>
      <c r="J60" s="108">
        <v>20011.150079999999</v>
      </c>
      <c r="K60" s="108">
        <v>3101.6035099999999</v>
      </c>
      <c r="L60" s="108">
        <v>50641.214</v>
      </c>
      <c r="M60" s="108">
        <v>76.308750000000003</v>
      </c>
      <c r="N60" s="108">
        <v>7017.7451999999994</v>
      </c>
      <c r="O60" s="108">
        <v>437.34749999999997</v>
      </c>
      <c r="P60" s="109" t="s">
        <v>168</v>
      </c>
      <c r="Q60" s="108">
        <v>1274.9438700000003</v>
      </c>
      <c r="R60" s="108">
        <v>109775</v>
      </c>
      <c r="S60" s="108">
        <v>19102.490639999996</v>
      </c>
      <c r="T60" s="108">
        <v>15914.433060000001</v>
      </c>
      <c r="U60" s="108">
        <v>2652.79898</v>
      </c>
      <c r="V60" s="108">
        <v>3420.0335599999999</v>
      </c>
      <c r="W60" s="108">
        <v>40869.0285</v>
      </c>
      <c r="X60" s="108">
        <v>81657.441800000001</v>
      </c>
      <c r="Y60" s="108">
        <v>128740.47966</v>
      </c>
      <c r="Z60" s="108">
        <v>155004.00644</v>
      </c>
      <c r="AA60" s="108">
        <v>169915.79235999999</v>
      </c>
      <c r="AB60" s="108">
        <v>1307.7247400000001</v>
      </c>
      <c r="AC60" s="108">
        <v>13258.07912</v>
      </c>
      <c r="AD60" s="108">
        <v>1848.9817</v>
      </c>
      <c r="AE60" s="108">
        <v>128.72705999999999</v>
      </c>
      <c r="AF60" s="182">
        <v>0</v>
      </c>
      <c r="AG60" s="185"/>
    </row>
    <row r="61" spans="1:33" ht="17.25" customHeight="1" x14ac:dyDescent="0.25">
      <c r="A61" s="118">
        <v>42752</v>
      </c>
      <c r="B61" s="114">
        <v>34563.312499999993</v>
      </c>
      <c r="C61" s="114">
        <v>1084.6793</v>
      </c>
      <c r="D61" s="114">
        <v>1612.296</v>
      </c>
      <c r="E61" s="114">
        <v>7361.1282399999991</v>
      </c>
      <c r="F61" s="114">
        <v>418635.94319999998</v>
      </c>
      <c r="G61" s="114">
        <v>2261.9621999999999</v>
      </c>
      <c r="H61" s="114">
        <v>60858.829870000001</v>
      </c>
      <c r="I61" s="114">
        <v>4733.461150000001</v>
      </c>
      <c r="J61" s="114">
        <v>58407.007879999997</v>
      </c>
      <c r="K61" s="114">
        <v>5118.6833700000007</v>
      </c>
      <c r="L61" s="114">
        <v>20907.592799999999</v>
      </c>
      <c r="M61" s="114">
        <v>151.12125</v>
      </c>
      <c r="N61" s="114">
        <v>12987.78</v>
      </c>
      <c r="O61" s="114">
        <v>3230.415</v>
      </c>
      <c r="P61" s="115" t="s">
        <v>168</v>
      </c>
      <c r="Q61" s="114">
        <v>2518.2554099999998</v>
      </c>
      <c r="R61" s="114">
        <v>115796</v>
      </c>
      <c r="S61" s="114">
        <v>30452.53368</v>
      </c>
      <c r="T61" s="114">
        <v>36380.825240000006</v>
      </c>
      <c r="U61" s="114">
        <v>5311.1062300000021</v>
      </c>
      <c r="V61" s="114">
        <v>14330.600210000002</v>
      </c>
      <c r="W61" s="114">
        <v>10412.907800000001</v>
      </c>
      <c r="X61" s="114">
        <v>74989.916800000006</v>
      </c>
      <c r="Y61" s="114">
        <v>130187.94305999999</v>
      </c>
      <c r="Z61" s="114">
        <v>131413.07610999999</v>
      </c>
      <c r="AA61" s="114">
        <v>137617.5</v>
      </c>
      <c r="AB61" s="114">
        <v>12241.361990000001</v>
      </c>
      <c r="AC61" s="114">
        <v>33832.773239999995</v>
      </c>
      <c r="AD61" s="114">
        <v>17105.90036</v>
      </c>
      <c r="AE61" s="91">
        <v>438.79232999999999</v>
      </c>
      <c r="AF61" s="180">
        <v>0</v>
      </c>
      <c r="AG61" s="185"/>
    </row>
    <row r="62" spans="1:33" ht="17.25" customHeight="1" x14ac:dyDescent="0.25">
      <c r="A62" s="117">
        <v>42783</v>
      </c>
      <c r="B62" s="111">
        <v>151.809</v>
      </c>
      <c r="C62" s="111">
        <v>28679.305499999999</v>
      </c>
      <c r="D62" s="111">
        <v>30</v>
      </c>
      <c r="E62" s="111">
        <v>11960.710310000002</v>
      </c>
      <c r="F62" s="111">
        <v>390019.40528000006</v>
      </c>
      <c r="G62" s="111">
        <v>11234.501079999998</v>
      </c>
      <c r="H62" s="111">
        <v>87400.089639999991</v>
      </c>
      <c r="I62" s="111">
        <v>6289.3672699999997</v>
      </c>
      <c r="J62" s="111">
        <v>100404.74176999998</v>
      </c>
      <c r="K62" s="111">
        <v>6087.4862000000003</v>
      </c>
      <c r="L62" s="111">
        <v>10760</v>
      </c>
      <c r="M62" s="111">
        <v>753.31290000000013</v>
      </c>
      <c r="N62" s="111">
        <v>11178.908099999999</v>
      </c>
      <c r="O62" s="111">
        <v>338.30500000000001</v>
      </c>
      <c r="P62" s="112" t="s">
        <v>168</v>
      </c>
      <c r="Q62" s="111">
        <v>2738.4667199999999</v>
      </c>
      <c r="R62" s="111">
        <v>92192</v>
      </c>
      <c r="S62" s="111">
        <v>56148.910279999989</v>
      </c>
      <c r="T62" s="111">
        <v>50953.842400000001</v>
      </c>
      <c r="U62" s="111">
        <v>18756.721120000002</v>
      </c>
      <c r="V62" s="111">
        <v>2356.1593000000003</v>
      </c>
      <c r="W62" s="111">
        <v>8977.5460000000003</v>
      </c>
      <c r="X62" s="111">
        <v>67506.189039999997</v>
      </c>
      <c r="Y62" s="111">
        <v>115068</v>
      </c>
      <c r="Z62" s="111">
        <v>110261.2132</v>
      </c>
      <c r="AA62" s="111">
        <v>139929.96455999999</v>
      </c>
      <c r="AB62" s="111">
        <v>907.42274999999995</v>
      </c>
      <c r="AC62" s="111">
        <v>54491.507340000004</v>
      </c>
      <c r="AD62" s="111">
        <v>12580.959930000001</v>
      </c>
      <c r="AE62" s="111">
        <v>41.210599999999999</v>
      </c>
      <c r="AF62" s="181">
        <v>0</v>
      </c>
      <c r="AG62" s="185"/>
    </row>
    <row r="63" spans="1:33" ht="17.25" customHeight="1" thickBot="1" x14ac:dyDescent="0.3">
      <c r="A63" s="116">
        <v>42811</v>
      </c>
      <c r="B63" s="108">
        <v>2647.5904</v>
      </c>
      <c r="C63" s="108">
        <v>21163.16710000001</v>
      </c>
      <c r="D63" s="108">
        <v>384.94</v>
      </c>
      <c r="E63" s="108">
        <v>8424.0295399999995</v>
      </c>
      <c r="F63" s="108">
        <v>275180.82949999999</v>
      </c>
      <c r="G63" s="108">
        <v>7843.1705000000002</v>
      </c>
      <c r="H63" s="108">
        <v>56674.661419999989</v>
      </c>
      <c r="I63" s="108">
        <v>6721.4284000000007</v>
      </c>
      <c r="J63" s="108">
        <v>144792.28239999997</v>
      </c>
      <c r="K63" s="108">
        <v>6339.2531600000002</v>
      </c>
      <c r="L63" s="108">
        <v>14027.53796</v>
      </c>
      <c r="M63" s="108">
        <v>252.16770000000002</v>
      </c>
      <c r="N63" s="108">
        <v>11961.3609</v>
      </c>
      <c r="O63" s="108">
        <v>3330.99</v>
      </c>
      <c r="P63" s="109" t="s">
        <v>168</v>
      </c>
      <c r="Q63" s="108">
        <v>5681.0741400000006</v>
      </c>
      <c r="R63" s="108">
        <v>101203.856</v>
      </c>
      <c r="S63" s="108">
        <v>48735.700950000006</v>
      </c>
      <c r="T63" s="108">
        <v>122790.16565</v>
      </c>
      <c r="U63" s="108">
        <v>11879.455569999998</v>
      </c>
      <c r="V63" s="108">
        <v>38863.703269999998</v>
      </c>
      <c r="W63" s="108">
        <v>40809.943400000004</v>
      </c>
      <c r="X63" s="108">
        <v>56546.7048</v>
      </c>
      <c r="Y63" s="108">
        <v>100251.09752</v>
      </c>
      <c r="Z63" s="108">
        <v>93407.717470000003</v>
      </c>
      <c r="AA63" s="108">
        <v>210456</v>
      </c>
      <c r="AB63" s="108">
        <v>8815.6507299999994</v>
      </c>
      <c r="AC63" s="108">
        <v>116744.64754999998</v>
      </c>
      <c r="AD63" s="108">
        <v>16093.535550000001</v>
      </c>
      <c r="AE63" s="108">
        <v>563.57220999999993</v>
      </c>
      <c r="AF63" s="182">
        <v>8780.8955999999998</v>
      </c>
      <c r="AG63" s="185"/>
    </row>
    <row r="64" spans="1:33" ht="17.25" customHeight="1" x14ac:dyDescent="0.25">
      <c r="A64" s="113">
        <v>42842</v>
      </c>
      <c r="B64" s="114">
        <v>31000.0406</v>
      </c>
      <c r="C64" s="114">
        <v>10007.901330000001</v>
      </c>
      <c r="D64" s="114">
        <v>14113.465400000001</v>
      </c>
      <c r="E64" s="114">
        <v>6000.9547299999995</v>
      </c>
      <c r="F64" s="114">
        <v>237345.8909</v>
      </c>
      <c r="G64" s="114">
        <v>7192.2696999999998</v>
      </c>
      <c r="H64" s="114">
        <v>79692.388780000038</v>
      </c>
      <c r="I64" s="114">
        <v>6966.6566000000003</v>
      </c>
      <c r="J64" s="114">
        <v>181609.38472</v>
      </c>
      <c r="K64" s="114">
        <v>7255.7255100000002</v>
      </c>
      <c r="L64" s="114">
        <v>10742.401159999999</v>
      </c>
      <c r="M64" s="114">
        <v>-2891.6714999999999</v>
      </c>
      <c r="N64" s="114">
        <v>12632.479160000001</v>
      </c>
      <c r="O64" s="114">
        <v>1353.0750000000003</v>
      </c>
      <c r="P64" s="115" t="s">
        <v>168</v>
      </c>
      <c r="Q64" s="114">
        <v>3406.3331500000004</v>
      </c>
      <c r="R64" s="114">
        <v>56832</v>
      </c>
      <c r="S64" s="114">
        <v>31370.176599999995</v>
      </c>
      <c r="T64" s="114">
        <v>132101.71596000003</v>
      </c>
      <c r="U64" s="114">
        <v>12240.187000000002</v>
      </c>
      <c r="V64" s="114">
        <v>8627.7993599999991</v>
      </c>
      <c r="W64" s="114">
        <v>16177.4794</v>
      </c>
      <c r="X64" s="114">
        <v>35871.213759999999</v>
      </c>
      <c r="Y64" s="114">
        <v>100167.217</v>
      </c>
      <c r="Z64" s="114">
        <v>95635.927499999991</v>
      </c>
      <c r="AA64" s="114">
        <v>213242.22349999999</v>
      </c>
      <c r="AB64" s="114">
        <v>4613.0021000000006</v>
      </c>
      <c r="AC64" s="114">
        <v>102633.37539999999</v>
      </c>
      <c r="AD64" s="114">
        <v>10617.345309999999</v>
      </c>
      <c r="AE64" s="91">
        <v>44.866800000000005</v>
      </c>
      <c r="AF64" s="180">
        <v>0</v>
      </c>
      <c r="AG64" s="185"/>
    </row>
    <row r="65" spans="1:36" ht="17.25" customHeight="1" x14ac:dyDescent="0.25">
      <c r="A65" s="110">
        <v>42872</v>
      </c>
      <c r="B65" s="111">
        <v>84513.756620000015</v>
      </c>
      <c r="C65" s="111">
        <v>1661.5879999999997</v>
      </c>
      <c r="D65" s="111">
        <v>53538.558499999992</v>
      </c>
      <c r="E65" s="111">
        <v>7656.9315399999996</v>
      </c>
      <c r="F65" s="111">
        <v>211540.39048</v>
      </c>
      <c r="G65" s="111">
        <v>4238.1542000000009</v>
      </c>
      <c r="H65" s="111">
        <v>81249.655169999984</v>
      </c>
      <c r="I65" s="111">
        <v>10093.376699999997</v>
      </c>
      <c r="J65" s="111">
        <v>216276.1835999999</v>
      </c>
      <c r="K65" s="111">
        <v>12548.6914</v>
      </c>
      <c r="L65" s="111">
        <v>15617.798200000001</v>
      </c>
      <c r="M65" s="111">
        <v>550.42380000000003</v>
      </c>
      <c r="N65" s="111">
        <v>13651.603200000001</v>
      </c>
      <c r="O65" s="111">
        <v>734.14</v>
      </c>
      <c r="P65" s="112" t="s">
        <v>168</v>
      </c>
      <c r="Q65" s="111">
        <v>3668.5360000000001</v>
      </c>
      <c r="R65" s="111">
        <v>79286.5</v>
      </c>
      <c r="S65" s="111">
        <v>21511.654659999997</v>
      </c>
      <c r="T65" s="111">
        <v>158422.65891999996</v>
      </c>
      <c r="U65" s="111">
        <v>6578.7200200000007</v>
      </c>
      <c r="V65" s="111">
        <v>11553.5756</v>
      </c>
      <c r="W65" s="111">
        <v>2966.4259999999999</v>
      </c>
      <c r="X65" s="111">
        <v>51406.86724</v>
      </c>
      <c r="Y65" s="111">
        <v>59995</v>
      </c>
      <c r="Z65" s="111">
        <v>91928.977559999999</v>
      </c>
      <c r="AA65" s="111">
        <v>149761.14455999999</v>
      </c>
      <c r="AB65" s="111">
        <v>15031.737100000002</v>
      </c>
      <c r="AC65" s="111">
        <v>53829.695680000012</v>
      </c>
      <c r="AD65" s="111">
        <v>6228.2476900000001</v>
      </c>
      <c r="AE65" s="111">
        <v>9134.6027599999998</v>
      </c>
      <c r="AF65" s="181">
        <v>1125</v>
      </c>
      <c r="AG65" s="185"/>
    </row>
    <row r="66" spans="1:36" ht="17.25" customHeight="1" thickBot="1" x14ac:dyDescent="0.3">
      <c r="A66" s="107">
        <v>42903</v>
      </c>
      <c r="B66" s="108">
        <v>69003.373640000005</v>
      </c>
      <c r="C66" s="108">
        <v>2345.9560800000004</v>
      </c>
      <c r="D66" s="108">
        <v>26568.289200000003</v>
      </c>
      <c r="E66" s="108">
        <v>6044.8924900000002</v>
      </c>
      <c r="F66" s="108">
        <v>56695.77399999999</v>
      </c>
      <c r="G66" s="108">
        <v>4636.7918</v>
      </c>
      <c r="H66" s="108">
        <v>75411.016060000038</v>
      </c>
      <c r="I66" s="108">
        <v>10093.678299999998</v>
      </c>
      <c r="J66" s="108">
        <v>91581.423800000004</v>
      </c>
      <c r="K66" s="108">
        <v>5104.7235500000006</v>
      </c>
      <c r="L66" s="108">
        <v>24771.1836</v>
      </c>
      <c r="M66" s="108">
        <v>75.411000000000001</v>
      </c>
      <c r="N66" s="108">
        <v>4480.5240000000003</v>
      </c>
      <c r="O66" s="108">
        <v>181.95999999999998</v>
      </c>
      <c r="P66" s="109" t="s">
        <v>168</v>
      </c>
      <c r="Q66" s="108">
        <v>778.16444999999999</v>
      </c>
      <c r="R66" s="108">
        <v>49608</v>
      </c>
      <c r="S66" s="108">
        <v>17392.466950000002</v>
      </c>
      <c r="T66" s="108">
        <v>87572.35834999998</v>
      </c>
      <c r="U66" s="108">
        <v>13465.594500000001</v>
      </c>
      <c r="V66" s="108">
        <v>6527.5101599999998</v>
      </c>
      <c r="W66" s="108">
        <v>1516.8</v>
      </c>
      <c r="X66" s="108">
        <v>45089.817499999997</v>
      </c>
      <c r="Y66" s="108">
        <v>10146.78376</v>
      </c>
      <c r="Z66" s="108">
        <v>9966.5808399999987</v>
      </c>
      <c r="AA66" s="108">
        <v>22696</v>
      </c>
      <c r="AB66" s="108">
        <v>8322.9577399999998</v>
      </c>
      <c r="AC66" s="108">
        <v>86100.850650000008</v>
      </c>
      <c r="AD66" s="108">
        <v>4832.9813099999992</v>
      </c>
      <c r="AE66" s="108">
        <v>7496.423310000001</v>
      </c>
      <c r="AF66" s="182">
        <v>1992.5</v>
      </c>
      <c r="AG66" s="185"/>
      <c r="AH66" s="186"/>
      <c r="AI66" s="106"/>
      <c r="AJ66" s="106"/>
    </row>
    <row r="67" spans="1:36" ht="17.25" customHeight="1" x14ac:dyDescent="0.25">
      <c r="A67" s="123">
        <v>42933</v>
      </c>
      <c r="B67" s="111">
        <v>39351.397679999995</v>
      </c>
      <c r="C67" s="111">
        <v>919.34044999999992</v>
      </c>
      <c r="D67" s="111">
        <v>79243.593400000012</v>
      </c>
      <c r="E67" s="111">
        <v>4191.8755199999996</v>
      </c>
      <c r="F67" s="111">
        <v>30453.853179999998</v>
      </c>
      <c r="G67" s="111">
        <v>7414.9646000000002</v>
      </c>
      <c r="H67" s="111">
        <v>71955.59083999999</v>
      </c>
      <c r="I67" s="111">
        <v>6771.8930499999997</v>
      </c>
      <c r="J67" s="111">
        <v>83594.191199999987</v>
      </c>
      <c r="K67" s="111">
        <v>10317.16656</v>
      </c>
      <c r="L67" s="111">
        <v>25172.18075</v>
      </c>
      <c r="M67" s="111">
        <v>0</v>
      </c>
      <c r="N67" s="111">
        <v>3094.8440000000001</v>
      </c>
      <c r="O67" s="111">
        <v>142.655</v>
      </c>
      <c r="P67" s="112" t="s">
        <v>168</v>
      </c>
      <c r="Q67" s="111">
        <v>4146.4838699999991</v>
      </c>
      <c r="R67" s="111">
        <v>4821.6000000000004</v>
      </c>
      <c r="S67" s="111">
        <v>38396.243209999993</v>
      </c>
      <c r="T67" s="111">
        <v>76809.727079999997</v>
      </c>
      <c r="U67" s="111">
        <v>11908.875180000001</v>
      </c>
      <c r="V67" s="111">
        <v>6468.7285000000002</v>
      </c>
      <c r="W67" s="111">
        <v>3723.75</v>
      </c>
      <c r="X67" s="111">
        <v>26108.045140000002</v>
      </c>
      <c r="Y67" s="111">
        <v>0</v>
      </c>
      <c r="Z67" s="111">
        <v>1051.12806</v>
      </c>
      <c r="AA67" s="111">
        <v>14561.618060000001</v>
      </c>
      <c r="AB67" s="111">
        <v>24335.611600000004</v>
      </c>
      <c r="AC67" s="111">
        <v>78920.691380000004</v>
      </c>
      <c r="AD67" s="111">
        <v>5731.024199999998</v>
      </c>
      <c r="AE67" s="91">
        <v>4411.1232599999994</v>
      </c>
      <c r="AF67" s="180">
        <v>300</v>
      </c>
      <c r="AG67" s="185"/>
      <c r="AH67" s="186"/>
      <c r="AI67" s="106"/>
      <c r="AJ67" s="106"/>
    </row>
    <row r="68" spans="1:36" ht="17.25" customHeight="1" x14ac:dyDescent="0.25">
      <c r="A68" s="123">
        <v>42964</v>
      </c>
      <c r="B68" s="111">
        <v>3298.6179999999999</v>
      </c>
      <c r="C68" s="111">
        <v>637.59857999999997</v>
      </c>
      <c r="D68" s="111">
        <v>30538.440849999999</v>
      </c>
      <c r="E68" s="111">
        <v>159.51732000000001</v>
      </c>
      <c r="F68" s="111">
        <v>27108.573100000001</v>
      </c>
      <c r="G68" s="111">
        <v>2496.7219499999997</v>
      </c>
      <c r="H68" s="111">
        <v>25893.263400000003</v>
      </c>
      <c r="I68" s="111">
        <v>1830.6970000000001</v>
      </c>
      <c r="J68" s="111">
        <v>97185.627299999993</v>
      </c>
      <c r="K68" s="111">
        <v>1648.4848499999998</v>
      </c>
      <c r="L68" s="111">
        <v>17766.904499999997</v>
      </c>
      <c r="M68" s="111">
        <v>199.899</v>
      </c>
      <c r="N68" s="111">
        <v>5228.7599999999993</v>
      </c>
      <c r="O68" s="111">
        <v>60.693750000000001</v>
      </c>
      <c r="P68" s="112" t="s">
        <v>168</v>
      </c>
      <c r="Q68" s="111">
        <v>355.76319999999998</v>
      </c>
      <c r="R68" s="111">
        <v>9489</v>
      </c>
      <c r="S68" s="111">
        <v>19178.449700000001</v>
      </c>
      <c r="T68" s="111">
        <v>77126.375100000019</v>
      </c>
      <c r="U68" s="111">
        <v>5116.7530999999999</v>
      </c>
      <c r="V68" s="111">
        <v>3447.0969999999998</v>
      </c>
      <c r="W68" s="111">
        <v>17.190000000000001</v>
      </c>
      <c r="X68" s="111">
        <v>8489</v>
      </c>
      <c r="Y68" s="111">
        <v>0</v>
      </c>
      <c r="Z68" s="111">
        <v>3182.8539999999998</v>
      </c>
      <c r="AA68" s="111">
        <v>22204</v>
      </c>
      <c r="AB68" s="111">
        <v>1852.3328000000001</v>
      </c>
      <c r="AC68" s="111">
        <v>77586.886100000018</v>
      </c>
      <c r="AD68" s="111">
        <v>30.241000000000003</v>
      </c>
      <c r="AE68" s="111">
        <v>17.202000000000002</v>
      </c>
      <c r="AF68" s="181">
        <v>0</v>
      </c>
      <c r="AG68" s="185"/>
      <c r="AH68" s="186"/>
      <c r="AI68" s="106"/>
      <c r="AJ68" s="106"/>
    </row>
    <row r="69" spans="1:36" ht="17.25" customHeight="1" thickBot="1" x14ac:dyDescent="0.3">
      <c r="A69" s="122">
        <v>42996</v>
      </c>
      <c r="B69" s="108">
        <v>703.11149999999998</v>
      </c>
      <c r="C69" s="108">
        <v>103.46275</v>
      </c>
      <c r="D69" s="108">
        <v>75</v>
      </c>
      <c r="E69" s="108">
        <v>842.02481999999998</v>
      </c>
      <c r="F69" s="108">
        <v>41373.334080000001</v>
      </c>
      <c r="G69" s="108">
        <v>3368.1629999999996</v>
      </c>
      <c r="H69" s="108">
        <v>11167.891629999998</v>
      </c>
      <c r="I69" s="108">
        <v>1901.3123499999999</v>
      </c>
      <c r="J69" s="108">
        <v>15329.57424</v>
      </c>
      <c r="K69" s="108">
        <v>3498.20892</v>
      </c>
      <c r="L69" s="108">
        <v>0</v>
      </c>
      <c r="M69" s="108">
        <v>193.91400000000002</v>
      </c>
      <c r="N69" s="108">
        <v>4651.2</v>
      </c>
      <c r="O69" s="108">
        <v>236.3</v>
      </c>
      <c r="P69" s="109" t="s">
        <v>168</v>
      </c>
      <c r="Q69" s="108">
        <v>1360.64582</v>
      </c>
      <c r="R69" s="108">
        <v>27635</v>
      </c>
      <c r="S69" s="108">
        <v>3787.7253499999997</v>
      </c>
      <c r="T69" s="108">
        <v>11033.754010000001</v>
      </c>
      <c r="U69" s="108">
        <v>1109.6707299999998</v>
      </c>
      <c r="V69" s="108">
        <v>1169.3</v>
      </c>
      <c r="W69" s="108">
        <v>0</v>
      </c>
      <c r="X69" s="108">
        <v>23397.392240000001</v>
      </c>
      <c r="Y69" s="108">
        <v>43916</v>
      </c>
      <c r="Z69" s="108">
        <v>82466.104500000001</v>
      </c>
      <c r="AA69" s="108">
        <v>35400.894560000001</v>
      </c>
      <c r="AB69" s="108">
        <v>80.428449999999998</v>
      </c>
      <c r="AC69" s="108">
        <v>8804.9499500000002</v>
      </c>
      <c r="AD69" s="108">
        <v>348.47230999999999</v>
      </c>
      <c r="AE69" s="108">
        <v>12.675599999999999</v>
      </c>
      <c r="AF69" s="182">
        <v>0</v>
      </c>
      <c r="AG69" s="185"/>
      <c r="AH69" s="186"/>
      <c r="AI69" s="106"/>
      <c r="AJ69" s="106"/>
    </row>
    <row r="70" spans="1:36" ht="17.25" customHeight="1" x14ac:dyDescent="0.25">
      <c r="A70" s="121">
        <v>43025</v>
      </c>
      <c r="B70" s="114">
        <v>205299.24100000001</v>
      </c>
      <c r="C70" s="114">
        <v>353.24250000000001</v>
      </c>
      <c r="D70" s="114">
        <v>50</v>
      </c>
      <c r="E70" s="114">
        <v>2913.0251600000001</v>
      </c>
      <c r="F70" s="114">
        <v>449744.86807999999</v>
      </c>
      <c r="G70" s="114">
        <v>2229.8874999999998</v>
      </c>
      <c r="H70" s="114">
        <v>32663.981899999999</v>
      </c>
      <c r="I70" s="114">
        <v>4801.173600000001</v>
      </c>
      <c r="J70" s="114">
        <v>79363.762200000026</v>
      </c>
      <c r="K70" s="114">
        <v>6984.8457700000008</v>
      </c>
      <c r="L70" s="114">
        <v>8034.25468</v>
      </c>
      <c r="M70" s="114">
        <v>260.04825</v>
      </c>
      <c r="N70" s="114">
        <v>18648.059599999997</v>
      </c>
      <c r="O70" s="114">
        <v>619.65750000000003</v>
      </c>
      <c r="P70" s="115" t="s">
        <v>168</v>
      </c>
      <c r="Q70" s="114">
        <v>1792.4651199999998</v>
      </c>
      <c r="R70" s="114">
        <v>129452.485</v>
      </c>
      <c r="S70" s="114">
        <v>52451.278960000018</v>
      </c>
      <c r="T70" s="114">
        <v>110321.55324000004</v>
      </c>
      <c r="U70" s="114">
        <v>4876.4503599999998</v>
      </c>
      <c r="V70" s="114">
        <v>7846.6957999999995</v>
      </c>
      <c r="W70" s="114">
        <v>42516.908200000005</v>
      </c>
      <c r="X70" s="114">
        <v>107344.37819</v>
      </c>
      <c r="Y70" s="114">
        <v>106804</v>
      </c>
      <c r="Z70" s="114">
        <v>172986.84899999999</v>
      </c>
      <c r="AA70" s="114">
        <v>177113.89455999999</v>
      </c>
      <c r="AB70" s="114">
        <v>1246.3989000000001</v>
      </c>
      <c r="AC70" s="114">
        <v>92136.046480000019</v>
      </c>
      <c r="AD70" s="114">
        <v>2233.9746199999995</v>
      </c>
      <c r="AE70" s="91">
        <v>34.744600000000005</v>
      </c>
      <c r="AF70" s="180">
        <v>0</v>
      </c>
      <c r="AG70" s="185"/>
      <c r="AH70" s="186"/>
      <c r="AI70" s="106"/>
    </row>
    <row r="71" spans="1:36" ht="17.25" customHeight="1" x14ac:dyDescent="0.25">
      <c r="A71" s="120">
        <v>43056</v>
      </c>
      <c r="B71" s="111">
        <v>54.961600000000018</v>
      </c>
      <c r="C71" s="111">
        <v>115.61275000000001</v>
      </c>
      <c r="D71" s="111">
        <v>25</v>
      </c>
      <c r="E71" s="111">
        <v>3118.93271</v>
      </c>
      <c r="F71" s="111">
        <v>541083.85</v>
      </c>
      <c r="G71" s="111">
        <v>4738.7875599999998</v>
      </c>
      <c r="H71" s="111">
        <v>30456.459649999997</v>
      </c>
      <c r="I71" s="111">
        <v>1174.95982</v>
      </c>
      <c r="J71" s="111">
        <v>60534.281940000001</v>
      </c>
      <c r="K71" s="111">
        <v>4709.8768</v>
      </c>
      <c r="L71" s="111">
        <v>19945.444459999999</v>
      </c>
      <c r="M71" s="111">
        <v>637.65480000000002</v>
      </c>
      <c r="N71" s="111">
        <v>12366.4889</v>
      </c>
      <c r="O71" s="111">
        <v>516.57000000000005</v>
      </c>
      <c r="P71" s="112" t="s">
        <v>168</v>
      </c>
      <c r="Q71" s="111">
        <v>1103.1380799999999</v>
      </c>
      <c r="R71" s="111">
        <v>163393</v>
      </c>
      <c r="S71" s="111">
        <v>5903.6039899999996</v>
      </c>
      <c r="T71" s="111">
        <v>48271.570629999995</v>
      </c>
      <c r="U71" s="111">
        <v>4379.5582600000007</v>
      </c>
      <c r="V71" s="111">
        <v>5528.9175000000005</v>
      </c>
      <c r="W71" s="111">
        <v>65449.919999999998</v>
      </c>
      <c r="X71" s="111">
        <v>112573.5</v>
      </c>
      <c r="Y71" s="111">
        <v>169332</v>
      </c>
      <c r="Z71" s="111">
        <v>230478</v>
      </c>
      <c r="AA71" s="111">
        <v>224892.66099999999</v>
      </c>
      <c r="AB71" s="111">
        <v>1040.6840999999999</v>
      </c>
      <c r="AC71" s="111">
        <v>46441.429790000009</v>
      </c>
      <c r="AD71" s="111">
        <v>358.93779999999998</v>
      </c>
      <c r="AE71" s="111">
        <v>200.78559999999999</v>
      </c>
      <c r="AF71" s="181">
        <v>0</v>
      </c>
      <c r="AG71" s="185"/>
      <c r="AH71" s="186"/>
      <c r="AI71" s="106"/>
    </row>
    <row r="72" spans="1:36" ht="17.25" customHeight="1" thickBot="1" x14ac:dyDescent="0.3">
      <c r="A72" s="119">
        <v>43086</v>
      </c>
      <c r="B72" s="108">
        <v>1025.2542000000001</v>
      </c>
      <c r="C72" s="108">
        <v>22176.351979999996</v>
      </c>
      <c r="D72" s="108">
        <v>0</v>
      </c>
      <c r="E72" s="108">
        <v>2502.7433600000004</v>
      </c>
      <c r="F72" s="108">
        <v>472773.99215000001</v>
      </c>
      <c r="G72" s="108">
        <v>10661.858039999999</v>
      </c>
      <c r="H72" s="108">
        <v>10689.3778</v>
      </c>
      <c r="I72" s="108">
        <v>3076.8866800000001</v>
      </c>
      <c r="J72" s="108">
        <v>71973.572120000012</v>
      </c>
      <c r="K72" s="108">
        <v>2338.8200600000005</v>
      </c>
      <c r="L72" s="108" t="s">
        <v>174</v>
      </c>
      <c r="M72" s="108">
        <v>0</v>
      </c>
      <c r="N72" s="108">
        <v>24637.636709999999</v>
      </c>
      <c r="O72" s="108">
        <v>148.69999999999999</v>
      </c>
      <c r="P72" s="109" t="s">
        <v>168</v>
      </c>
      <c r="Q72" s="108">
        <v>436.40440000000001</v>
      </c>
      <c r="R72" s="108">
        <v>159642</v>
      </c>
      <c r="S72" s="108">
        <v>5680.2000800000005</v>
      </c>
      <c r="T72" s="108">
        <v>39537.59145</v>
      </c>
      <c r="U72" s="108">
        <v>8511.5566999999992</v>
      </c>
      <c r="V72" s="108">
        <v>10762.2075</v>
      </c>
      <c r="W72" s="108">
        <v>52297.999999999993</v>
      </c>
      <c r="X72" s="108">
        <v>86784.5</v>
      </c>
      <c r="Y72" s="108">
        <v>182868</v>
      </c>
      <c r="Z72" s="108">
        <v>171414.66821999999</v>
      </c>
      <c r="AA72" s="108">
        <v>197374</v>
      </c>
      <c r="AB72" s="108">
        <v>2733.8825000000002</v>
      </c>
      <c r="AC72" s="108">
        <v>85726.218649999995</v>
      </c>
      <c r="AD72" s="108">
        <v>6173.9646599999996</v>
      </c>
      <c r="AE72" s="108">
        <v>284.72461999999996</v>
      </c>
      <c r="AF72" s="182">
        <v>0</v>
      </c>
      <c r="AG72" s="185"/>
      <c r="AH72" s="186"/>
      <c r="AI72" s="106"/>
    </row>
    <row r="73" spans="1:36" ht="17.25" customHeight="1" x14ac:dyDescent="0.25">
      <c r="A73" s="118">
        <v>43118</v>
      </c>
      <c r="B73" s="114">
        <v>4481.7387399999998</v>
      </c>
      <c r="C73" s="114">
        <v>569.57590000000005</v>
      </c>
      <c r="D73" s="114">
        <v>1612.296</v>
      </c>
      <c r="E73" s="114">
        <v>3371.9772899999998</v>
      </c>
      <c r="F73" s="114">
        <v>438040.67968</v>
      </c>
      <c r="G73" s="114">
        <v>5986.7633999999998</v>
      </c>
      <c r="H73" s="114">
        <v>43955.296180000005</v>
      </c>
      <c r="I73" s="114">
        <v>5233.8929999999991</v>
      </c>
      <c r="J73" s="114">
        <v>28440.048799999997</v>
      </c>
      <c r="K73" s="114">
        <v>5438.1084999999975</v>
      </c>
      <c r="L73" s="114">
        <v>15085.154159999998</v>
      </c>
      <c r="M73" s="114">
        <v>152.61750000000029</v>
      </c>
      <c r="N73" s="114">
        <v>2712.2654599999996</v>
      </c>
      <c r="O73" s="114">
        <v>383.75200000000007</v>
      </c>
      <c r="P73" s="115" t="s">
        <v>168</v>
      </c>
      <c r="Q73" s="114">
        <v>331.68299999999999</v>
      </c>
      <c r="R73" s="114">
        <v>147833.20000000001</v>
      </c>
      <c r="S73" s="114">
        <v>17613.31106</v>
      </c>
      <c r="T73" s="114">
        <v>23504.85052</v>
      </c>
      <c r="U73" s="114">
        <v>4688.9642000000013</v>
      </c>
      <c r="V73" s="114">
        <v>9457.0639599999995</v>
      </c>
      <c r="W73" s="114">
        <v>47381.039999999994</v>
      </c>
      <c r="X73" s="114">
        <v>87421.847999999998</v>
      </c>
      <c r="Y73" s="114">
        <v>76568</v>
      </c>
      <c r="Z73" s="114">
        <v>154572.27565999998</v>
      </c>
      <c r="AA73" s="114">
        <v>132080.30556000001</v>
      </c>
      <c r="AB73" s="114">
        <v>4784.3590999999997</v>
      </c>
      <c r="AC73" s="114">
        <v>23430.289880000004</v>
      </c>
      <c r="AD73" s="114">
        <v>1145.28865</v>
      </c>
      <c r="AE73" s="91">
        <v>835.20607999999993</v>
      </c>
      <c r="AF73" s="180">
        <v>0</v>
      </c>
      <c r="AG73" s="185"/>
      <c r="AH73" s="186"/>
      <c r="AI73" s="106"/>
    </row>
    <row r="74" spans="1:36" ht="17.25" customHeight="1" x14ac:dyDescent="0.25">
      <c r="A74" s="117">
        <v>43149</v>
      </c>
      <c r="B74" s="111">
        <v>59476.542440000005</v>
      </c>
      <c r="C74" s="111">
        <v>17182.99468</v>
      </c>
      <c r="D74" s="111">
        <v>1706.5</v>
      </c>
      <c r="E74" s="111">
        <v>15489.12057000001</v>
      </c>
      <c r="F74" s="111">
        <v>454189.59805000003</v>
      </c>
      <c r="G74" s="111">
        <v>7376.0789000000004</v>
      </c>
      <c r="H74" s="111">
        <v>75088.024400000009</v>
      </c>
      <c r="I74" s="111">
        <v>12662.5996</v>
      </c>
      <c r="J74" s="111">
        <v>235326.89414999995</v>
      </c>
      <c r="K74" s="111">
        <v>11059.70206</v>
      </c>
      <c r="L74" s="111">
        <v>17435.471700000002</v>
      </c>
      <c r="M74" s="111">
        <v>0</v>
      </c>
      <c r="N74" s="111">
        <v>5360.3472500000007</v>
      </c>
      <c r="O74" s="111">
        <v>989.97199999999998</v>
      </c>
      <c r="P74" s="112" t="s">
        <v>168</v>
      </c>
      <c r="Q74" s="111">
        <v>1064.7950000000001</v>
      </c>
      <c r="R74" s="111">
        <v>136463</v>
      </c>
      <c r="S74" s="111">
        <v>55992.074749999985</v>
      </c>
      <c r="T74" s="111">
        <v>150774.86235000001</v>
      </c>
      <c r="U74" s="111">
        <v>9358.5942500000001</v>
      </c>
      <c r="V74" s="111">
        <v>15931.366910000001</v>
      </c>
      <c r="W74" s="111">
        <v>43284.39</v>
      </c>
      <c r="X74" s="111">
        <v>87064.498500000002</v>
      </c>
      <c r="Y74" s="111">
        <v>142047.04876000001</v>
      </c>
      <c r="Z74" s="111">
        <v>141777.81479</v>
      </c>
      <c r="AA74" s="111">
        <v>129293.75</v>
      </c>
      <c r="AB74" s="111">
        <v>5280.9278400000003</v>
      </c>
      <c r="AC74" s="111">
        <v>132681.32605000003</v>
      </c>
      <c r="AD74" s="111">
        <v>4480.133960000001</v>
      </c>
      <c r="AE74" s="111">
        <v>6738.0530599999993</v>
      </c>
      <c r="AF74" s="181">
        <v>968.5</v>
      </c>
      <c r="AG74" s="185"/>
      <c r="AH74" s="186"/>
      <c r="AI74" s="106"/>
    </row>
    <row r="75" spans="1:36" ht="17.25" customHeight="1" thickBot="1" x14ac:dyDescent="0.3">
      <c r="A75" s="116">
        <v>43177</v>
      </c>
      <c r="B75" s="108">
        <v>50579.285919999995</v>
      </c>
      <c r="C75" s="108">
        <v>24310.732099999997</v>
      </c>
      <c r="D75" s="108">
        <v>15011.539799999999</v>
      </c>
      <c r="E75" s="108">
        <v>4787.32485</v>
      </c>
      <c r="F75" s="108">
        <v>287066.5148</v>
      </c>
      <c r="G75" s="108">
        <v>8946.1154000000006</v>
      </c>
      <c r="H75" s="108">
        <v>96401.690199999983</v>
      </c>
      <c r="I75" s="108">
        <v>10478.525700000002</v>
      </c>
      <c r="J75" s="108">
        <v>214234.9632</v>
      </c>
      <c r="K75" s="108">
        <v>14487.27303</v>
      </c>
      <c r="L75" s="108">
        <v>15624.747529999999</v>
      </c>
      <c r="M75" s="108">
        <v>302.24250000000001</v>
      </c>
      <c r="N75" s="108">
        <v>2261.6408000000001</v>
      </c>
      <c r="O75" s="108">
        <v>1366.9275</v>
      </c>
      <c r="P75" s="109" t="s">
        <v>168</v>
      </c>
      <c r="Q75" s="108">
        <v>1910.5408600000001</v>
      </c>
      <c r="R75" s="108">
        <v>98032</v>
      </c>
      <c r="S75" s="108">
        <v>42042.331479999993</v>
      </c>
      <c r="T75" s="108">
        <v>157585.63090000005</v>
      </c>
      <c r="U75" s="108">
        <v>26749.518189999999</v>
      </c>
      <c r="V75" s="108">
        <v>13870.726360000004</v>
      </c>
      <c r="W75" s="108">
        <v>12608.4</v>
      </c>
      <c r="X75" s="108">
        <v>70734.50056</v>
      </c>
      <c r="Y75" s="108">
        <v>90891.479659999997</v>
      </c>
      <c r="Z75" s="108">
        <v>78656.542000000001</v>
      </c>
      <c r="AA75" s="108">
        <v>207857.04149999999</v>
      </c>
      <c r="AB75" s="108">
        <v>5716.9115600000005</v>
      </c>
      <c r="AC75" s="108">
        <v>167617.75590000002</v>
      </c>
      <c r="AD75" s="108">
        <v>9733.2693100000015</v>
      </c>
      <c r="AE75" s="108">
        <v>4754.2614999999996</v>
      </c>
      <c r="AF75" s="182">
        <v>1772.3</v>
      </c>
      <c r="AG75" s="185"/>
      <c r="AH75" s="186"/>
      <c r="AI75" s="106"/>
    </row>
    <row r="76" spans="1:36" ht="17.25" customHeight="1" x14ac:dyDescent="0.25">
      <c r="A76" s="113">
        <v>43208</v>
      </c>
      <c r="B76" s="114">
        <v>4993.6290999999992</v>
      </c>
      <c r="C76" s="114">
        <v>929.26144999999997</v>
      </c>
      <c r="D76" s="114">
        <v>16733.965500000002</v>
      </c>
      <c r="E76" s="114">
        <v>7169.968859999999</v>
      </c>
      <c r="F76" s="114">
        <v>349139.52648</v>
      </c>
      <c r="G76" s="114">
        <v>7053.1778000000004</v>
      </c>
      <c r="H76" s="114">
        <v>68719.636050000001</v>
      </c>
      <c r="I76" s="114">
        <v>6611.1976500000001</v>
      </c>
      <c r="J76" s="114">
        <v>133371.40459999998</v>
      </c>
      <c r="K76" s="114">
        <v>6317.7964000000002</v>
      </c>
      <c r="L76" s="114">
        <v>7728.0239099999999</v>
      </c>
      <c r="M76" s="114">
        <v>-1318.7637</v>
      </c>
      <c r="N76" s="114">
        <v>16640.326160000001</v>
      </c>
      <c r="O76" s="114">
        <v>523.02</v>
      </c>
      <c r="P76" s="115" t="s">
        <v>168</v>
      </c>
      <c r="Q76" s="114">
        <v>2750.5373599999998</v>
      </c>
      <c r="R76" s="114">
        <v>81341.600000000006</v>
      </c>
      <c r="S76" s="114">
        <v>40978.835809999997</v>
      </c>
      <c r="T76" s="114">
        <v>164017.96823</v>
      </c>
      <c r="U76" s="114">
        <v>4407.7156999999988</v>
      </c>
      <c r="V76" s="114">
        <v>8176.4472000000005</v>
      </c>
      <c r="W76" s="114">
        <v>14163.682000000003</v>
      </c>
      <c r="X76" s="114">
        <v>45809.0795</v>
      </c>
      <c r="Y76" s="114">
        <v>136984</v>
      </c>
      <c r="Z76" s="114">
        <v>126426.32206000001</v>
      </c>
      <c r="AA76" s="114">
        <v>264533.59856000001</v>
      </c>
      <c r="AB76" s="114">
        <v>9171.1072399999975</v>
      </c>
      <c r="AC76" s="114">
        <v>164001.42403000002</v>
      </c>
      <c r="AD76" s="114">
        <v>1372.4259</v>
      </c>
      <c r="AE76" s="91">
        <v>383.72025999999994</v>
      </c>
      <c r="AF76" s="180">
        <v>0</v>
      </c>
      <c r="AG76" s="185"/>
      <c r="AH76" s="186"/>
      <c r="AI76" s="106"/>
    </row>
    <row r="77" spans="1:36" ht="17.25" customHeight="1" x14ac:dyDescent="0.25">
      <c r="A77" s="110">
        <v>43238</v>
      </c>
      <c r="B77" s="111">
        <v>692.71910000000003</v>
      </c>
      <c r="C77" s="111">
        <v>7510.0019400000019</v>
      </c>
      <c r="D77" s="111">
        <v>34398.374800000005</v>
      </c>
      <c r="E77" s="111">
        <v>6158.0225400000008</v>
      </c>
      <c r="F77" s="111">
        <v>212200.29916</v>
      </c>
      <c r="G77" s="111">
        <v>10452.4018</v>
      </c>
      <c r="H77" s="111">
        <v>86488.463219999991</v>
      </c>
      <c r="I77" s="111">
        <v>12608.29413</v>
      </c>
      <c r="J77" s="111">
        <v>169728.16179999994</v>
      </c>
      <c r="K77" s="111">
        <v>5737.6012000000001</v>
      </c>
      <c r="L77" s="111">
        <v>518.77530000000002</v>
      </c>
      <c r="M77" s="111">
        <v>449.625</v>
      </c>
      <c r="N77" s="111">
        <v>8473.5522000000001</v>
      </c>
      <c r="O77" s="111">
        <v>858.7650000000001</v>
      </c>
      <c r="P77" s="112" t="s">
        <v>168</v>
      </c>
      <c r="Q77" s="111">
        <v>2447.0412200000001</v>
      </c>
      <c r="R77" s="111">
        <v>46941</v>
      </c>
      <c r="S77" s="111">
        <v>30238.926619999998</v>
      </c>
      <c r="T77" s="111">
        <v>118464.65004000002</v>
      </c>
      <c r="U77" s="111">
        <v>11975.13206</v>
      </c>
      <c r="V77" s="111">
        <v>12389.371810000001</v>
      </c>
      <c r="W77" s="111">
        <v>12671.600000000002</v>
      </c>
      <c r="X77" s="111">
        <v>20514.157080000001</v>
      </c>
      <c r="Y77" s="111">
        <v>70782.479659999997</v>
      </c>
      <c r="Z77" s="111">
        <v>106400.34455000001</v>
      </c>
      <c r="AA77" s="111">
        <v>144763.09992000001</v>
      </c>
      <c r="AB77" s="111">
        <v>1100.34629</v>
      </c>
      <c r="AC77" s="111">
        <v>71649.836660000001</v>
      </c>
      <c r="AD77" s="111">
        <v>6514.4418800000003</v>
      </c>
      <c r="AE77" s="111">
        <v>205.27137000000002</v>
      </c>
      <c r="AF77" s="181">
        <v>0</v>
      </c>
      <c r="AG77" s="185"/>
      <c r="AH77" s="186"/>
      <c r="AI77" s="106"/>
    </row>
    <row r="78" spans="1:36" ht="17.25" customHeight="1" thickBot="1" x14ac:dyDescent="0.3">
      <c r="A78" s="107">
        <v>43269</v>
      </c>
      <c r="B78" s="108">
        <v>31538.634600000001</v>
      </c>
      <c r="C78" s="108">
        <v>803.27015999999992</v>
      </c>
      <c r="D78" s="108">
        <v>70828.963099999994</v>
      </c>
      <c r="E78" s="108">
        <v>4991.8966499999997</v>
      </c>
      <c r="F78" s="108">
        <v>31883.480599999995</v>
      </c>
      <c r="G78" s="108">
        <v>2510.2282</v>
      </c>
      <c r="H78" s="108">
        <v>58026.80717</v>
      </c>
      <c r="I78" s="108">
        <v>6497.3402499999993</v>
      </c>
      <c r="J78" s="108">
        <v>100281.42444</v>
      </c>
      <c r="K78" s="108">
        <v>12279.76686</v>
      </c>
      <c r="L78" s="108">
        <v>10820.55</v>
      </c>
      <c r="M78" s="108">
        <v>63.441000000000003</v>
      </c>
      <c r="N78" s="108">
        <v>6916.8701000000001</v>
      </c>
      <c r="O78" s="108">
        <v>1038.4574999999998</v>
      </c>
      <c r="P78" s="109" t="s">
        <v>168</v>
      </c>
      <c r="Q78" s="108">
        <v>2017.0038000000002</v>
      </c>
      <c r="R78" s="108">
        <v>7401</v>
      </c>
      <c r="S78" s="108">
        <v>31523.340939999998</v>
      </c>
      <c r="T78" s="108">
        <v>75408.765339999998</v>
      </c>
      <c r="U78" s="108">
        <v>5361.3087000000005</v>
      </c>
      <c r="V78" s="108">
        <v>5542.9663</v>
      </c>
      <c r="W78" s="108">
        <v>1516.8</v>
      </c>
      <c r="X78" s="108">
        <v>21508.9944</v>
      </c>
      <c r="Y78" s="108">
        <v>0</v>
      </c>
      <c r="Z78" s="108">
        <v>8430.967560000001</v>
      </c>
      <c r="AA78" s="108">
        <v>16640</v>
      </c>
      <c r="AB78" s="108">
        <v>10440.412070000002</v>
      </c>
      <c r="AC78" s="108">
        <v>66618.392219999994</v>
      </c>
      <c r="AD78" s="108">
        <v>4803.2858200000001</v>
      </c>
      <c r="AE78" s="108">
        <v>644.01135999999997</v>
      </c>
      <c r="AF78" s="182">
        <v>0</v>
      </c>
      <c r="AG78" s="185"/>
      <c r="AH78" s="186"/>
      <c r="AI78" s="106"/>
    </row>
    <row r="79" spans="1:36" ht="17.25" customHeight="1" x14ac:dyDescent="0.25">
      <c r="A79" s="123">
        <v>43299</v>
      </c>
      <c r="B79" s="111">
        <v>8736.5953000000009</v>
      </c>
      <c r="C79" s="111">
        <v>745.13857999999993</v>
      </c>
      <c r="D79" s="111">
        <v>110898.4688</v>
      </c>
      <c r="E79" s="111">
        <v>1500.4429599999999</v>
      </c>
      <c r="F79" s="111">
        <v>15230.0476</v>
      </c>
      <c r="G79" s="111">
        <v>2791.5537999999997</v>
      </c>
      <c r="H79" s="111">
        <v>52585.131119999984</v>
      </c>
      <c r="I79" s="111">
        <v>3044.6792999999998</v>
      </c>
      <c r="J79" s="111">
        <v>93804.399600000004</v>
      </c>
      <c r="K79" s="111">
        <v>8353.3395999999993</v>
      </c>
      <c r="L79" s="111">
        <v>0</v>
      </c>
      <c r="M79" s="111">
        <v>511.4205</v>
      </c>
      <c r="N79" s="111">
        <v>5053.7439999999997</v>
      </c>
      <c r="O79" s="111">
        <v>1565.58</v>
      </c>
      <c r="P79" s="112" t="s">
        <v>168</v>
      </c>
      <c r="Q79" s="111">
        <v>1563.626</v>
      </c>
      <c r="R79" s="111">
        <v>12554.455399999999</v>
      </c>
      <c r="S79" s="111">
        <v>19467.366300000002</v>
      </c>
      <c r="T79" s="111">
        <v>69078.580900000001</v>
      </c>
      <c r="U79" s="111">
        <v>7550.3179500000015</v>
      </c>
      <c r="V79" s="111">
        <v>3231.848</v>
      </c>
      <c r="W79" s="111">
        <v>6730.8</v>
      </c>
      <c r="X79" s="111">
        <v>7744.6157600000006</v>
      </c>
      <c r="Y79" s="111">
        <v>0</v>
      </c>
      <c r="Z79" s="111">
        <v>5299.3339999999998</v>
      </c>
      <c r="AA79" s="111">
        <v>23400.839909999999</v>
      </c>
      <c r="AB79" s="111">
        <v>24913.60515000001</v>
      </c>
      <c r="AC79" s="111">
        <v>115023.43040000001</v>
      </c>
      <c r="AD79" s="111">
        <v>3098.3985500000003</v>
      </c>
      <c r="AE79" s="91">
        <v>1145.9644000000001</v>
      </c>
      <c r="AF79" s="180">
        <v>0</v>
      </c>
      <c r="AG79" s="185"/>
      <c r="AH79" s="186"/>
      <c r="AI79" s="159"/>
    </row>
    <row r="80" spans="1:36" ht="17.25" customHeight="1" x14ac:dyDescent="0.25">
      <c r="A80" s="123">
        <v>43330</v>
      </c>
      <c r="B80" s="111">
        <v>6563.2491</v>
      </c>
      <c r="C80" s="111">
        <v>245.85000000000002</v>
      </c>
      <c r="D80" s="111">
        <v>90</v>
      </c>
      <c r="E80" s="111">
        <v>636.37407000000007</v>
      </c>
      <c r="F80" s="111">
        <v>4758</v>
      </c>
      <c r="G80" s="111">
        <v>383.43</v>
      </c>
      <c r="H80" s="111">
        <v>23882.943719999999</v>
      </c>
      <c r="I80" s="111">
        <v>2260.7019999999998</v>
      </c>
      <c r="J80" s="111">
        <v>122061.54115999998</v>
      </c>
      <c r="K80" s="111">
        <v>1883.8816999999995</v>
      </c>
      <c r="L80" s="111">
        <v>38.552999999999997</v>
      </c>
      <c r="M80" s="111">
        <v>0</v>
      </c>
      <c r="N80" s="111">
        <v>8340.8691999999992</v>
      </c>
      <c r="O80" s="111">
        <v>259.62</v>
      </c>
      <c r="P80" s="111">
        <v>13750</v>
      </c>
      <c r="Q80" s="111">
        <v>263.81790000000001</v>
      </c>
      <c r="R80" s="111">
        <v>30506.2</v>
      </c>
      <c r="S80" s="111">
        <v>18688.764999999999</v>
      </c>
      <c r="T80" s="111">
        <v>55325.565119999999</v>
      </c>
      <c r="U80" s="111">
        <v>3308.2661000000003</v>
      </c>
      <c r="V80" s="111">
        <v>1108.1917000000001</v>
      </c>
      <c r="W80" s="111">
        <v>0</v>
      </c>
      <c r="X80" s="111">
        <v>6396</v>
      </c>
      <c r="Y80" s="111">
        <v>0</v>
      </c>
      <c r="Z80" s="111">
        <v>6479.7488599999997</v>
      </c>
      <c r="AA80" s="111">
        <v>63831.985000000001</v>
      </c>
      <c r="AB80" s="111">
        <v>1018.9805</v>
      </c>
      <c r="AC80" s="111">
        <v>75498.252660000013</v>
      </c>
      <c r="AD80" s="111">
        <v>1865.0622500000002</v>
      </c>
      <c r="AE80" s="111">
        <v>417.14006000000001</v>
      </c>
      <c r="AF80" s="181">
        <v>0</v>
      </c>
      <c r="AG80" s="185"/>
      <c r="AH80" s="186"/>
      <c r="AI80" s="106"/>
    </row>
    <row r="81" spans="1:35" ht="17.25" customHeight="1" thickBot="1" x14ac:dyDescent="0.3">
      <c r="A81" s="122">
        <v>43361</v>
      </c>
      <c r="B81" s="108">
        <v>12050.906000000001</v>
      </c>
      <c r="C81" s="108">
        <v>186.5985</v>
      </c>
      <c r="D81" s="108">
        <v>28</v>
      </c>
      <c r="E81" s="108">
        <v>343.86760000000004</v>
      </c>
      <c r="F81" s="108">
        <v>85676.59</v>
      </c>
      <c r="G81" s="108">
        <v>332</v>
      </c>
      <c r="H81" s="108">
        <v>31813.267800000009</v>
      </c>
      <c r="I81" s="108">
        <v>3254.1600000000003</v>
      </c>
      <c r="J81" s="108">
        <v>92430.914999999979</v>
      </c>
      <c r="K81" s="108">
        <v>6866.787049999999</v>
      </c>
      <c r="L81" s="108">
        <v>334.12139999999999</v>
      </c>
      <c r="M81" s="108">
        <v>150.822</v>
      </c>
      <c r="N81" s="108">
        <v>1468.8</v>
      </c>
      <c r="O81" s="108">
        <v>1895.7925</v>
      </c>
      <c r="P81" s="109" t="s">
        <v>168</v>
      </c>
      <c r="Q81" s="108">
        <v>881.99545000000001</v>
      </c>
      <c r="R81" s="108">
        <v>37249</v>
      </c>
      <c r="S81" s="108">
        <v>10476.644649999998</v>
      </c>
      <c r="T81" s="108">
        <v>68765.122250000015</v>
      </c>
      <c r="U81" s="108">
        <v>5463.9422200000008</v>
      </c>
      <c r="V81" s="108">
        <v>3009.348</v>
      </c>
      <c r="W81" s="108">
        <v>3779.6409999999996</v>
      </c>
      <c r="X81" s="108">
        <v>37465.165399999998</v>
      </c>
      <c r="Y81" s="108">
        <v>50000</v>
      </c>
      <c r="Z81" s="108">
        <v>92195.400529999999</v>
      </c>
      <c r="AA81" s="108">
        <v>44358.310799999999</v>
      </c>
      <c r="AB81" s="108">
        <v>218.1275</v>
      </c>
      <c r="AC81" s="108">
        <v>83278.182550000012</v>
      </c>
      <c r="AD81" s="108">
        <v>608.32175999999993</v>
      </c>
      <c r="AE81" s="108">
        <v>56.153300000000002</v>
      </c>
      <c r="AF81" s="182">
        <v>0</v>
      </c>
      <c r="AG81" s="185"/>
      <c r="AH81" s="186"/>
      <c r="AI81" s="106"/>
    </row>
    <row r="82" spans="1:35" ht="17.25" customHeight="1" x14ac:dyDescent="0.25">
      <c r="A82" s="121">
        <v>43391</v>
      </c>
      <c r="B82" s="114">
        <v>482.44600000000003</v>
      </c>
      <c r="C82" s="114">
        <v>244.76400000000001</v>
      </c>
      <c r="D82" s="114">
        <v>50</v>
      </c>
      <c r="E82" s="114">
        <v>3008.0086500000002</v>
      </c>
      <c r="F82" s="114">
        <v>485105.23800000001</v>
      </c>
      <c r="G82" s="114">
        <v>5948.24</v>
      </c>
      <c r="H82" s="114">
        <v>26366.281060000001</v>
      </c>
      <c r="I82" s="114">
        <v>11922.386349999999</v>
      </c>
      <c r="J82" s="114">
        <v>139051.25271999996</v>
      </c>
      <c r="K82" s="114">
        <v>980.24610999999993</v>
      </c>
      <c r="L82" s="114">
        <v>5427.7491600000003</v>
      </c>
      <c r="M82" s="114">
        <v>75.411000000000001</v>
      </c>
      <c r="N82" s="114">
        <v>23218.371199999998</v>
      </c>
      <c r="O82" s="114">
        <v>-26289.127500000002</v>
      </c>
      <c r="P82" s="115" t="s">
        <v>168</v>
      </c>
      <c r="Q82" s="114">
        <v>1691.1124499999999</v>
      </c>
      <c r="R82" s="114">
        <v>127193.4</v>
      </c>
      <c r="S82" s="114">
        <v>14829.3164</v>
      </c>
      <c r="T82" s="114">
        <v>107364.43316000002</v>
      </c>
      <c r="U82" s="114">
        <v>2772.0570199999997</v>
      </c>
      <c r="V82" s="114">
        <v>8629.4873999999982</v>
      </c>
      <c r="W82" s="114">
        <v>36557.435799999999</v>
      </c>
      <c r="X82" s="114">
        <v>102094.8918</v>
      </c>
      <c r="Y82" s="114">
        <v>81029.463400000008</v>
      </c>
      <c r="Z82" s="114">
        <v>209563.40906000001</v>
      </c>
      <c r="AA82" s="114">
        <v>163815</v>
      </c>
      <c r="AB82" s="114">
        <v>877.98524999999995</v>
      </c>
      <c r="AC82" s="114">
        <v>99591.502920000014</v>
      </c>
      <c r="AD82" s="114">
        <v>876.23590999999999</v>
      </c>
      <c r="AE82" s="91">
        <v>186.68456</v>
      </c>
      <c r="AF82" s="180">
        <v>0</v>
      </c>
      <c r="AG82" s="185"/>
      <c r="AH82" s="186"/>
      <c r="AI82" s="106"/>
    </row>
    <row r="83" spans="1:35" ht="17.25" customHeight="1" x14ac:dyDescent="0.25">
      <c r="A83" s="120">
        <v>43422</v>
      </c>
      <c r="B83" s="111">
        <v>0</v>
      </c>
      <c r="C83" s="111">
        <v>245.77959999999999</v>
      </c>
      <c r="D83" s="111">
        <v>0</v>
      </c>
      <c r="E83" s="111">
        <v>1914.4435000000001</v>
      </c>
      <c r="F83" s="111">
        <v>538928.58648000006</v>
      </c>
      <c r="G83" s="111">
        <v>4322.55</v>
      </c>
      <c r="H83" s="111">
        <v>20841.92568</v>
      </c>
      <c r="I83" s="111">
        <v>1518.4126000000001</v>
      </c>
      <c r="J83" s="111">
        <v>81963.464399999983</v>
      </c>
      <c r="K83" s="111">
        <v>3745.4215599999998</v>
      </c>
      <c r="L83" s="111">
        <v>6821.9852799999999</v>
      </c>
      <c r="M83" s="111">
        <v>-2349.1779999999999</v>
      </c>
      <c r="N83" s="111">
        <v>15064.171299999998</v>
      </c>
      <c r="O83" s="111">
        <v>1061.01</v>
      </c>
      <c r="P83" s="112" t="s">
        <v>168</v>
      </c>
      <c r="Q83" s="111">
        <v>1653.5467599999997</v>
      </c>
      <c r="R83" s="111">
        <v>161129</v>
      </c>
      <c r="S83" s="111">
        <v>12461.94392</v>
      </c>
      <c r="T83" s="111">
        <v>51094.174820000007</v>
      </c>
      <c r="U83" s="111">
        <v>3477.7017000000005</v>
      </c>
      <c r="V83" s="111">
        <v>4029.8312599999999</v>
      </c>
      <c r="W83" s="111">
        <v>46392.080999999998</v>
      </c>
      <c r="X83" s="111">
        <v>116267.57029999999</v>
      </c>
      <c r="Y83" s="111">
        <v>154430.47966000001</v>
      </c>
      <c r="Z83" s="111">
        <v>248872.75099999999</v>
      </c>
      <c r="AA83" s="111">
        <v>193388.89455999999</v>
      </c>
      <c r="AB83" s="111">
        <v>4495.31844</v>
      </c>
      <c r="AC83" s="111">
        <v>48641.347080000014</v>
      </c>
      <c r="AD83" s="111">
        <v>671.97146000000021</v>
      </c>
      <c r="AE83" s="111">
        <v>161.93170000000001</v>
      </c>
      <c r="AF83" s="181">
        <v>0</v>
      </c>
      <c r="AG83" s="185"/>
      <c r="AH83" s="186"/>
      <c r="AI83" s="106"/>
    </row>
    <row r="84" spans="1:35" ht="17.25" customHeight="1" thickBot="1" x14ac:dyDescent="0.3">
      <c r="A84" s="119">
        <v>43452</v>
      </c>
      <c r="B84" s="108">
        <v>155.03149999999999</v>
      </c>
      <c r="C84" s="108">
        <v>87.9</v>
      </c>
      <c r="D84" s="108">
        <v>1612.296</v>
      </c>
      <c r="E84" s="108">
        <v>2070.9830700000002</v>
      </c>
      <c r="F84" s="108">
        <v>446121.88800000004</v>
      </c>
      <c r="G84" s="108">
        <v>3208.3200999999999</v>
      </c>
      <c r="H84" s="108">
        <v>22688.82</v>
      </c>
      <c r="I84" s="108">
        <v>1696.52505</v>
      </c>
      <c r="J84" s="108">
        <v>32517.399999999994</v>
      </c>
      <c r="K84" s="108">
        <v>4747.2925000000005</v>
      </c>
      <c r="L84" s="108">
        <v>32083.59764</v>
      </c>
      <c r="M84" s="108">
        <v>150.2235</v>
      </c>
      <c r="N84" s="108">
        <v>2514.2835999999998</v>
      </c>
      <c r="O84" s="108">
        <v>1549.2199999999998</v>
      </c>
      <c r="P84" s="109" t="s">
        <v>168</v>
      </c>
      <c r="Q84" s="108">
        <v>3221.1585999999998</v>
      </c>
      <c r="R84" s="108">
        <v>123470</v>
      </c>
      <c r="S84" s="108">
        <v>4867.6000000000004</v>
      </c>
      <c r="T84" s="108">
        <v>25868.550000000003</v>
      </c>
      <c r="U84" s="108">
        <v>2391.1044499999998</v>
      </c>
      <c r="V84" s="108">
        <v>4986.5867099999996</v>
      </c>
      <c r="W84" s="108">
        <v>39092.956400000003</v>
      </c>
      <c r="X84" s="108">
        <v>94555.504000000001</v>
      </c>
      <c r="Y84" s="108">
        <v>103503.47966</v>
      </c>
      <c r="Z84" s="108">
        <v>169429.16279</v>
      </c>
      <c r="AA84" s="108">
        <v>138910.41099999999</v>
      </c>
      <c r="AB84" s="108">
        <v>2643.5391399999999</v>
      </c>
      <c r="AC84" s="108">
        <v>20902.800000000003</v>
      </c>
      <c r="AD84" s="108">
        <v>931.09550000000002</v>
      </c>
      <c r="AE84" s="108">
        <v>199.61011000000002</v>
      </c>
      <c r="AF84" s="182">
        <v>0</v>
      </c>
      <c r="AG84" s="185"/>
      <c r="AH84" s="186"/>
      <c r="AI84" s="106"/>
    </row>
    <row r="85" spans="1:35" ht="17.25" customHeight="1" x14ac:dyDescent="0.25">
      <c r="A85" s="118">
        <v>43484</v>
      </c>
      <c r="B85" s="114">
        <v>677.44900000000007</v>
      </c>
      <c r="C85" s="114">
        <v>2562.9584</v>
      </c>
      <c r="D85" s="114">
        <v>205</v>
      </c>
      <c r="E85" s="114">
        <v>6997.9599399999997</v>
      </c>
      <c r="F85" s="114">
        <v>496243.40107999998</v>
      </c>
      <c r="G85" s="114">
        <v>7148.4225000000006</v>
      </c>
      <c r="H85" s="114">
        <v>46921.452409999998</v>
      </c>
      <c r="I85" s="114">
        <v>5543.4952300000004</v>
      </c>
      <c r="J85" s="114">
        <v>69995.463199999998</v>
      </c>
      <c r="K85" s="114">
        <v>8258.0040499999996</v>
      </c>
      <c r="L85" s="114">
        <v>43894.4902</v>
      </c>
      <c r="M85" s="114">
        <v>641.24579999999992</v>
      </c>
      <c r="N85" s="114">
        <v>18727.549100000004</v>
      </c>
      <c r="O85" s="114">
        <v>6929.3099999999986</v>
      </c>
      <c r="P85" s="115" t="s">
        <v>168</v>
      </c>
      <c r="Q85" s="114">
        <v>645.46990000000005</v>
      </c>
      <c r="R85" s="114">
        <v>141593</v>
      </c>
      <c r="S85" s="114">
        <v>46322.524359999996</v>
      </c>
      <c r="T85" s="114">
        <v>50945.219320000004</v>
      </c>
      <c r="U85" s="114">
        <v>9057.0910299999978</v>
      </c>
      <c r="V85" s="114">
        <v>14963.0833</v>
      </c>
      <c r="W85" s="114">
        <v>87750.570399999997</v>
      </c>
      <c r="X85" s="114">
        <v>141174.14848999999</v>
      </c>
      <c r="Y85" s="114">
        <v>143157.91519999999</v>
      </c>
      <c r="Z85" s="114">
        <v>202861.46471999999</v>
      </c>
      <c r="AA85" s="114">
        <v>141977.6636</v>
      </c>
      <c r="AB85" s="114">
        <v>10638.999250000001</v>
      </c>
      <c r="AC85" s="114">
        <v>58367.276680000003</v>
      </c>
      <c r="AD85" s="114">
        <v>15758.810900000002</v>
      </c>
      <c r="AE85" s="91">
        <v>1336.7693199999999</v>
      </c>
      <c r="AF85" s="180">
        <v>0</v>
      </c>
      <c r="AG85" s="185"/>
      <c r="AH85" s="186"/>
      <c r="AI85" s="106"/>
    </row>
    <row r="86" spans="1:35" ht="17.25" customHeight="1" x14ac:dyDescent="0.25">
      <c r="A86" s="117">
        <v>43515</v>
      </c>
      <c r="B86" s="111">
        <v>3007.2725000000005</v>
      </c>
      <c r="C86" s="111">
        <v>16620.627</v>
      </c>
      <c r="D86" s="111">
        <v>150</v>
      </c>
      <c r="E86" s="111">
        <v>19864.941010000002</v>
      </c>
      <c r="F86" s="111">
        <v>479826.84959999996</v>
      </c>
      <c r="G86" s="111">
        <v>9538.7641999999996</v>
      </c>
      <c r="H86" s="111">
        <v>97343.051760000075</v>
      </c>
      <c r="I86" s="111">
        <v>14672.651800000009</v>
      </c>
      <c r="J86" s="111">
        <v>180691.10720000003</v>
      </c>
      <c r="K86" s="111">
        <v>9964.469219999999</v>
      </c>
      <c r="L86" s="111">
        <v>276.726</v>
      </c>
      <c r="M86" s="111">
        <v>225.6345</v>
      </c>
      <c r="N86" s="111">
        <v>5569.2000000000007</v>
      </c>
      <c r="O86" s="111">
        <v>2154.8049999999998</v>
      </c>
      <c r="P86" s="112" t="s">
        <v>168</v>
      </c>
      <c r="Q86" s="111">
        <v>1561.0250999999998</v>
      </c>
      <c r="R86" s="111">
        <v>130042</v>
      </c>
      <c r="S86" s="111">
        <v>67313.232799999969</v>
      </c>
      <c r="T86" s="111">
        <v>135695.66144000003</v>
      </c>
      <c r="U86" s="111">
        <v>12914.868900000001</v>
      </c>
      <c r="V86" s="111">
        <v>14928.403749999999</v>
      </c>
      <c r="W86" s="111">
        <v>41332.800000000003</v>
      </c>
      <c r="X86" s="111">
        <v>61473.406999999999</v>
      </c>
      <c r="Y86" s="111">
        <v>104699.776</v>
      </c>
      <c r="Z86" s="111">
        <v>164759.66342</v>
      </c>
      <c r="AA86" s="111">
        <v>143878.75</v>
      </c>
      <c r="AB86" s="111">
        <v>5432.2616500000004</v>
      </c>
      <c r="AC86" s="111">
        <v>110851.80212000004</v>
      </c>
      <c r="AD86" s="111">
        <v>7236.5612999999985</v>
      </c>
      <c r="AE86" s="111">
        <v>611.40656999999999</v>
      </c>
      <c r="AF86" s="181">
        <v>0</v>
      </c>
      <c r="AG86" s="185"/>
      <c r="AH86" s="186"/>
      <c r="AI86" s="106"/>
    </row>
    <row r="87" spans="1:35" ht="17.25" customHeight="1" thickBot="1" x14ac:dyDescent="0.3">
      <c r="A87" s="116">
        <v>43543</v>
      </c>
      <c r="B87" s="108">
        <v>7689.4693000000007</v>
      </c>
      <c r="C87" s="108">
        <v>9566.1899999999987</v>
      </c>
      <c r="D87" s="108">
        <v>27990.759900000001</v>
      </c>
      <c r="E87" s="108">
        <v>7380.1793899999993</v>
      </c>
      <c r="F87" s="108">
        <v>281586.77182000002</v>
      </c>
      <c r="G87" s="108">
        <v>8791.3649999999998</v>
      </c>
      <c r="H87" s="108">
        <v>68416.038840000008</v>
      </c>
      <c r="I87" s="108">
        <v>4984.6022000000003</v>
      </c>
      <c r="J87" s="108">
        <v>146570.90720000002</v>
      </c>
      <c r="K87" s="108">
        <v>8625.6503000000012</v>
      </c>
      <c r="L87" s="108">
        <v>1451.5722000000001</v>
      </c>
      <c r="M87" s="108">
        <v>315.411</v>
      </c>
      <c r="N87" s="108">
        <v>7582.5748999999996</v>
      </c>
      <c r="O87" s="108">
        <v>3207.2575000000002</v>
      </c>
      <c r="P87" s="109" t="s">
        <v>168</v>
      </c>
      <c r="Q87" s="108">
        <v>648.18600000000004</v>
      </c>
      <c r="R87" s="108">
        <v>89310</v>
      </c>
      <c r="S87" s="108">
        <v>17210.886590000002</v>
      </c>
      <c r="T87" s="108">
        <v>86776.17932000001</v>
      </c>
      <c r="U87" s="108">
        <v>14024.092959999998</v>
      </c>
      <c r="V87" s="108">
        <v>8430.6283100000001</v>
      </c>
      <c r="W87" s="108">
        <v>39905.096400000002</v>
      </c>
      <c r="X87" s="108">
        <v>60722.142739999996</v>
      </c>
      <c r="Y87" s="108">
        <v>89587.479659999997</v>
      </c>
      <c r="Z87" s="108">
        <v>147671.28775000002</v>
      </c>
      <c r="AA87" s="108">
        <v>263048.30556000001</v>
      </c>
      <c r="AB87" s="108">
        <v>3902.6821099999997</v>
      </c>
      <c r="AC87" s="108">
        <v>90074.943480000031</v>
      </c>
      <c r="AD87" s="108">
        <v>10318.52658</v>
      </c>
      <c r="AE87" s="108">
        <v>598.42796999999996</v>
      </c>
      <c r="AF87" s="182">
        <v>104.1</v>
      </c>
      <c r="AG87" s="185"/>
      <c r="AH87" s="186"/>
      <c r="AI87" s="106"/>
    </row>
    <row r="88" spans="1:35" ht="17.25" customHeight="1" x14ac:dyDescent="0.25">
      <c r="A88" s="113">
        <v>43574</v>
      </c>
      <c r="B88" s="114">
        <v>31339.6001</v>
      </c>
      <c r="C88" s="114">
        <v>540.78156999999999</v>
      </c>
      <c r="D88" s="114">
        <v>45408.762600000009</v>
      </c>
      <c r="E88" s="114">
        <v>6475.1043799999979</v>
      </c>
      <c r="F88" s="114">
        <v>330245.66619999998</v>
      </c>
      <c r="G88" s="114">
        <v>8963.9044799999992</v>
      </c>
      <c r="H88" s="114">
        <v>97038.442350000027</v>
      </c>
      <c r="I88" s="114">
        <v>5403.2864999999993</v>
      </c>
      <c r="J88" s="114">
        <v>76526.743399999992</v>
      </c>
      <c r="K88" s="114">
        <v>19543.949499999995</v>
      </c>
      <c r="L88" s="114">
        <v>236.81319999999997</v>
      </c>
      <c r="M88" s="114">
        <v>300</v>
      </c>
      <c r="N88" s="114">
        <v>13929.530199999999</v>
      </c>
      <c r="O88" s="114">
        <v>1676.6256299999998</v>
      </c>
      <c r="P88" s="115" t="s">
        <v>168</v>
      </c>
      <c r="Q88" s="114">
        <v>1335.779</v>
      </c>
      <c r="R88" s="114">
        <v>83633</v>
      </c>
      <c r="S88" s="114">
        <v>36101.008500000011</v>
      </c>
      <c r="T88" s="114">
        <v>77613.179900000017</v>
      </c>
      <c r="U88" s="114">
        <v>8874.4371499999997</v>
      </c>
      <c r="V88" s="114">
        <v>8858.4373699999996</v>
      </c>
      <c r="W88" s="114">
        <v>21224.082000000002</v>
      </c>
      <c r="X88" s="114">
        <v>45623</v>
      </c>
      <c r="Y88" s="114">
        <v>100199.95931999999</v>
      </c>
      <c r="Z88" s="114">
        <v>170352.73058999999</v>
      </c>
      <c r="AA88" s="114">
        <v>272334.75</v>
      </c>
      <c r="AB88" s="114">
        <v>8788.9030300000013</v>
      </c>
      <c r="AC88" s="114">
        <v>77129.19279999999</v>
      </c>
      <c r="AD88" s="114">
        <v>5213.6380999999992</v>
      </c>
      <c r="AE88" s="91">
        <v>843.1270300000001</v>
      </c>
      <c r="AF88" s="180">
        <v>156</v>
      </c>
      <c r="AG88" s="185"/>
      <c r="AH88" s="186"/>
      <c r="AI88" s="106"/>
    </row>
    <row r="89" spans="1:35" ht="17.25" customHeight="1" x14ac:dyDescent="0.25">
      <c r="A89" s="110">
        <v>43604</v>
      </c>
      <c r="B89" s="111">
        <v>24559</v>
      </c>
      <c r="C89" s="111">
        <v>3555.0915800000016</v>
      </c>
      <c r="D89" s="111">
        <v>47840.142400000004</v>
      </c>
      <c r="E89" s="111">
        <v>5004.1300899999997</v>
      </c>
      <c r="F89" s="111">
        <v>153354.44747000001</v>
      </c>
      <c r="G89" s="111">
        <v>3186.3787999999995</v>
      </c>
      <c r="H89" s="111">
        <v>67670.779559999981</v>
      </c>
      <c r="I89" s="111">
        <v>3052.1196</v>
      </c>
      <c r="J89" s="111">
        <v>218977.64833999999</v>
      </c>
      <c r="K89" s="111">
        <v>5568.9755500000001</v>
      </c>
      <c r="L89" s="111">
        <v>181.0686</v>
      </c>
      <c r="M89" s="111">
        <v>0</v>
      </c>
      <c r="N89" s="111">
        <v>4320.8519999999999</v>
      </c>
      <c r="O89" s="111">
        <v>989.94499999999994</v>
      </c>
      <c r="P89" s="112" t="s">
        <v>168</v>
      </c>
      <c r="Q89" s="111">
        <v>776.58349999999996</v>
      </c>
      <c r="R89" s="111">
        <v>47994</v>
      </c>
      <c r="S89" s="111">
        <v>27855.085680000004</v>
      </c>
      <c r="T89" s="111">
        <v>153804.25937999997</v>
      </c>
      <c r="U89" s="111">
        <v>8720.4511600000005</v>
      </c>
      <c r="V89" s="111">
        <v>7334.1500000000005</v>
      </c>
      <c r="W89" s="111">
        <v>8621.4009999999998</v>
      </c>
      <c r="X89" s="111">
        <v>10436.371999999999</v>
      </c>
      <c r="Y89" s="111">
        <v>74276.447100000005</v>
      </c>
      <c r="Z89" s="111">
        <v>151325</v>
      </c>
      <c r="AA89" s="111">
        <v>109731.81080000001</v>
      </c>
      <c r="AB89" s="111">
        <v>13217.1186</v>
      </c>
      <c r="AC89" s="111">
        <v>148354.83936999997</v>
      </c>
      <c r="AD89" s="111">
        <v>2849.3272100000004</v>
      </c>
      <c r="AE89" s="111">
        <v>951.96440000000007</v>
      </c>
      <c r="AF89" s="181">
        <v>0</v>
      </c>
      <c r="AG89" s="185"/>
      <c r="AH89" s="186"/>
      <c r="AI89" s="106"/>
    </row>
    <row r="90" spans="1:35" ht="17.25" customHeight="1" thickBot="1" x14ac:dyDescent="0.3">
      <c r="A90" s="107">
        <v>43635</v>
      </c>
      <c r="B90" s="108">
        <v>9535.4691999999995</v>
      </c>
      <c r="C90" s="108">
        <v>1281.6257499999997</v>
      </c>
      <c r="D90" s="108">
        <v>97575.747049999991</v>
      </c>
      <c r="E90" s="108">
        <v>3134.0722799999999</v>
      </c>
      <c r="F90" s="108">
        <v>52667.627640000006</v>
      </c>
      <c r="G90" s="108">
        <v>2080.84</v>
      </c>
      <c r="H90" s="108">
        <v>58156.338900000002</v>
      </c>
      <c r="I90" s="108">
        <v>6911.6467299999995</v>
      </c>
      <c r="J90" s="108">
        <v>40696.932959999998</v>
      </c>
      <c r="K90" s="108">
        <v>3173.5611700000004</v>
      </c>
      <c r="L90" s="108">
        <v>5648.8755000000001</v>
      </c>
      <c r="M90" s="108">
        <v>58.952249999999999</v>
      </c>
      <c r="N90" s="108">
        <v>4768.7555999999995</v>
      </c>
      <c r="O90" s="108">
        <v>90.552500000000009</v>
      </c>
      <c r="P90" s="109" t="s">
        <v>168</v>
      </c>
      <c r="Q90" s="108">
        <v>1849.47165</v>
      </c>
      <c r="R90" s="108">
        <v>26374</v>
      </c>
      <c r="S90" s="108">
        <v>20519.28715</v>
      </c>
      <c r="T90" s="108">
        <v>41299.621849999996</v>
      </c>
      <c r="U90" s="108">
        <v>13038.108919999999</v>
      </c>
      <c r="V90" s="108">
        <v>5245.6647499999999</v>
      </c>
      <c r="W90" s="108">
        <v>8974.4</v>
      </c>
      <c r="X90" s="108">
        <v>17614</v>
      </c>
      <c r="Y90" s="108">
        <v>0</v>
      </c>
      <c r="Z90" s="108">
        <v>1536.4215100000001</v>
      </c>
      <c r="AA90" s="108">
        <v>17283</v>
      </c>
      <c r="AB90" s="108">
        <v>6676.19625</v>
      </c>
      <c r="AC90" s="108">
        <v>42378.037690000005</v>
      </c>
      <c r="AD90" s="108">
        <v>4694.3551599999992</v>
      </c>
      <c r="AE90" s="108">
        <v>844.64471000000003</v>
      </c>
      <c r="AF90" s="182">
        <v>1703.19</v>
      </c>
      <c r="AG90" s="185"/>
      <c r="AH90" s="186"/>
      <c r="AI90" s="106"/>
    </row>
    <row r="91" spans="1:35" ht="17.25" customHeight="1" x14ac:dyDescent="0.25">
      <c r="A91" s="123">
        <v>43665</v>
      </c>
      <c r="B91" s="111">
        <v>5808.7558999999992</v>
      </c>
      <c r="C91" s="111">
        <v>477.93824999999993</v>
      </c>
      <c r="D91" s="111">
        <v>97575.747049999991</v>
      </c>
      <c r="E91" s="111">
        <v>1035.60736</v>
      </c>
      <c r="F91" s="111">
        <v>19855.620080000001</v>
      </c>
      <c r="G91" s="111">
        <v>2497.8975</v>
      </c>
      <c r="H91" s="111">
        <v>60867.502829999983</v>
      </c>
      <c r="I91" s="111">
        <v>3220.1040999999996</v>
      </c>
      <c r="J91" s="111">
        <v>89313.508600000016</v>
      </c>
      <c r="K91" s="111">
        <v>2879.10358</v>
      </c>
      <c r="L91" s="111">
        <v>2696.4189000000001</v>
      </c>
      <c r="M91" s="111">
        <v>150.822</v>
      </c>
      <c r="N91" s="111">
        <v>2821.4519999999998</v>
      </c>
      <c r="O91" s="111">
        <v>382.27200000000005</v>
      </c>
      <c r="P91" s="112" t="s">
        <v>168</v>
      </c>
      <c r="Q91" s="111">
        <v>776.44166000000007</v>
      </c>
      <c r="R91" s="111">
        <v>8745</v>
      </c>
      <c r="S91" s="111">
        <v>10516.907509999999</v>
      </c>
      <c r="T91" s="111">
        <v>70181.056870000015</v>
      </c>
      <c r="U91" s="111">
        <v>13380.186079999996</v>
      </c>
      <c r="V91" s="111">
        <v>3591.6743099999999</v>
      </c>
      <c r="W91" s="111">
        <v>208.626</v>
      </c>
      <c r="X91" s="111">
        <v>6563.2692399999996</v>
      </c>
      <c r="Y91" s="111">
        <v>10072.479660000001</v>
      </c>
      <c r="Z91" s="111">
        <v>32156.947250000001</v>
      </c>
      <c r="AA91" s="111">
        <v>16277.305560000001</v>
      </c>
      <c r="AB91" s="111">
        <v>16834.757840000002</v>
      </c>
      <c r="AC91" s="111">
        <v>72447.790729999993</v>
      </c>
      <c r="AD91" s="111">
        <v>1815.6026100000001</v>
      </c>
      <c r="AE91" s="91">
        <v>931.69075999999995</v>
      </c>
      <c r="AF91" s="180">
        <v>0</v>
      </c>
      <c r="AG91" s="185"/>
      <c r="AH91" s="186"/>
      <c r="AI91" s="106"/>
    </row>
    <row r="92" spans="1:35" ht="17.25" customHeight="1" x14ac:dyDescent="0.25">
      <c r="A92" s="123">
        <v>43696</v>
      </c>
      <c r="B92" s="111">
        <v>631.53710000000001</v>
      </c>
      <c r="C92" s="111">
        <v>1215.56431</v>
      </c>
      <c r="D92" s="111">
        <v>9907.3366499999993</v>
      </c>
      <c r="E92" s="111">
        <v>185.56874999999997</v>
      </c>
      <c r="F92" s="111">
        <v>26612.554600000003</v>
      </c>
      <c r="G92" s="111">
        <v>3696.1640500000003</v>
      </c>
      <c r="H92" s="111">
        <v>27283.696880000007</v>
      </c>
      <c r="I92" s="111">
        <v>2647.7566999999999</v>
      </c>
      <c r="J92" s="111">
        <v>69052.491119999991</v>
      </c>
      <c r="K92" s="111">
        <v>2570.24305</v>
      </c>
      <c r="L92" s="111">
        <v>50.481000000000009</v>
      </c>
      <c r="M92" s="111">
        <v>75.411000000000001</v>
      </c>
      <c r="N92" s="111">
        <v>3539.4236000000005</v>
      </c>
      <c r="O92" s="111">
        <v>-21686.774999999998</v>
      </c>
      <c r="P92" s="111">
        <v>10910</v>
      </c>
      <c r="Q92" s="111">
        <v>184.11510000000001</v>
      </c>
      <c r="R92" s="111">
        <v>5788</v>
      </c>
      <c r="S92" s="111">
        <v>3554.6472999999996</v>
      </c>
      <c r="T92" s="111">
        <v>43147.137940000001</v>
      </c>
      <c r="U92" s="111">
        <v>3874.9877599999995</v>
      </c>
      <c r="V92" s="111">
        <v>4121.5532999999996</v>
      </c>
      <c r="W92" s="111">
        <v>0</v>
      </c>
      <c r="X92" s="111">
        <v>2186.5</v>
      </c>
      <c r="Y92" s="111">
        <v>10019.982</v>
      </c>
      <c r="Z92" s="111">
        <v>18602.24022</v>
      </c>
      <c r="AA92" s="111">
        <v>10162.411</v>
      </c>
      <c r="AB92" s="111">
        <v>3408.7464</v>
      </c>
      <c r="AC92" s="111">
        <v>44733.988919999996</v>
      </c>
      <c r="AD92" s="111">
        <v>502.46195</v>
      </c>
      <c r="AE92" s="111">
        <v>395.87711999999999</v>
      </c>
      <c r="AF92" s="181">
        <v>0</v>
      </c>
      <c r="AG92" s="185"/>
      <c r="AH92" s="186"/>
      <c r="AI92" s="106"/>
    </row>
    <row r="93" spans="1:35" ht="17.25" customHeight="1" thickBot="1" x14ac:dyDescent="0.3">
      <c r="A93" s="122">
        <v>43727</v>
      </c>
      <c r="B93" s="108">
        <v>376.2955</v>
      </c>
      <c r="C93" s="108">
        <v>228.09005999999999</v>
      </c>
      <c r="D93" s="108">
        <v>0.2838</v>
      </c>
      <c r="E93" s="108">
        <v>336.55378000000007</v>
      </c>
      <c r="F93" s="108">
        <v>92294.97</v>
      </c>
      <c r="G93" s="108">
        <v>2669.0455999999999</v>
      </c>
      <c r="H93" s="108">
        <v>22079.534149999996</v>
      </c>
      <c r="I93" s="108">
        <v>2130.2613000000001</v>
      </c>
      <c r="J93" s="108">
        <v>39989.9804</v>
      </c>
      <c r="K93" s="108">
        <v>3704.02819</v>
      </c>
      <c r="L93" s="108">
        <v>1359.0192000000002</v>
      </c>
      <c r="M93" s="108">
        <v>60.448500000000003</v>
      </c>
      <c r="N93" s="108">
        <v>12104.304</v>
      </c>
      <c r="O93" s="108">
        <v>-9514.5099999999984</v>
      </c>
      <c r="P93" s="108">
        <v>5170</v>
      </c>
      <c r="Q93" s="108">
        <v>24.917750000000002</v>
      </c>
      <c r="R93" s="108">
        <v>32650.913399999998</v>
      </c>
      <c r="S93" s="108">
        <v>2037.6</v>
      </c>
      <c r="T93" s="108">
        <v>20216.675899999998</v>
      </c>
      <c r="U93" s="108">
        <v>6018.3463099999981</v>
      </c>
      <c r="V93" s="108">
        <v>2125.24575</v>
      </c>
      <c r="W93" s="108">
        <v>1327.2</v>
      </c>
      <c r="X93" s="108">
        <v>23382.355459999999</v>
      </c>
      <c r="Y93" s="108">
        <v>23850.029340000001</v>
      </c>
      <c r="Z93" s="108">
        <v>46351.89645</v>
      </c>
      <c r="AA93" s="108">
        <v>52952.620609999998</v>
      </c>
      <c r="AB93" s="108">
        <v>3266.9288500000002</v>
      </c>
      <c r="AC93" s="108">
        <v>26882.575400000002</v>
      </c>
      <c r="AD93" s="108">
        <v>224.12195000000003</v>
      </c>
      <c r="AE93" s="108">
        <v>110.18184999999998</v>
      </c>
      <c r="AF93" s="182">
        <v>0</v>
      </c>
      <c r="AG93" s="185"/>
      <c r="AH93" s="186"/>
      <c r="AI93" s="106"/>
    </row>
    <row r="94" spans="1:35" ht="17.25" customHeight="1" x14ac:dyDescent="0.25">
      <c r="A94" s="121">
        <v>43757</v>
      </c>
      <c r="B94" s="114">
        <v>925.66410000000019</v>
      </c>
      <c r="C94" s="114">
        <v>839.81466</v>
      </c>
      <c r="D94" s="114">
        <v>46</v>
      </c>
      <c r="E94" s="114">
        <v>3035.0982599999998</v>
      </c>
      <c r="F94" s="114">
        <v>455093.32208000001</v>
      </c>
      <c r="G94" s="114">
        <v>3693.0271000000002</v>
      </c>
      <c r="H94" s="114">
        <v>20304.28269</v>
      </c>
      <c r="I94" s="114">
        <v>3871.9372499999999</v>
      </c>
      <c r="J94" s="114">
        <v>124587.68759999998</v>
      </c>
      <c r="K94" s="114">
        <v>1063.03801</v>
      </c>
      <c r="L94" s="114">
        <v>2409.3623000000007</v>
      </c>
      <c r="M94" s="114">
        <v>-3037.5817000000002</v>
      </c>
      <c r="N94" s="114">
        <v>11210.623349999998</v>
      </c>
      <c r="O94" s="114">
        <v>180.2895</v>
      </c>
      <c r="P94" s="115" t="s">
        <v>168</v>
      </c>
      <c r="Q94" s="114">
        <v>1.1046</v>
      </c>
      <c r="R94" s="114">
        <v>123882</v>
      </c>
      <c r="S94" s="114">
        <v>734.69705999999996</v>
      </c>
      <c r="T94" s="114">
        <v>77411.018620000017</v>
      </c>
      <c r="U94" s="114">
        <v>3008.1726100000001</v>
      </c>
      <c r="V94" s="114">
        <v>7043.3545099999992</v>
      </c>
      <c r="W94" s="114">
        <v>16387.5831</v>
      </c>
      <c r="X94" s="114">
        <v>84049.52304</v>
      </c>
      <c r="Y94" s="114">
        <v>98639.479659999997</v>
      </c>
      <c r="Z94" s="114">
        <v>149815.71885</v>
      </c>
      <c r="AA94" s="114">
        <v>156118.39455999999</v>
      </c>
      <c r="AB94" s="114">
        <v>3596.0286900000001</v>
      </c>
      <c r="AC94" s="114">
        <v>68056.486380000017</v>
      </c>
      <c r="AD94" s="114">
        <v>788.23765000000003</v>
      </c>
      <c r="AE94" s="91">
        <v>424.05006999999995</v>
      </c>
      <c r="AF94" s="180">
        <v>0</v>
      </c>
      <c r="AG94" s="185"/>
      <c r="AH94" s="186"/>
      <c r="AI94" s="106"/>
    </row>
    <row r="95" spans="1:35" ht="17.25" customHeight="1" x14ac:dyDescent="0.25">
      <c r="A95" s="120">
        <v>43788</v>
      </c>
      <c r="B95" s="111">
        <v>59564.077300000004</v>
      </c>
      <c r="C95" s="111">
        <v>15.92</v>
      </c>
      <c r="D95" s="111">
        <v>16.398</v>
      </c>
      <c r="E95" s="111">
        <v>1589.5899100000001</v>
      </c>
      <c r="F95" s="111">
        <v>553041.89599999995</v>
      </c>
      <c r="G95" s="111">
        <v>3040.8137500000003</v>
      </c>
      <c r="H95" s="111">
        <v>13203.185000000001</v>
      </c>
      <c r="I95" s="111">
        <v>1963.7496500000002</v>
      </c>
      <c r="J95" s="111">
        <v>17616.668659999999</v>
      </c>
      <c r="K95" s="111">
        <v>4814.8553999999995</v>
      </c>
      <c r="L95" s="111">
        <v>157.72649999999999</v>
      </c>
      <c r="M95" s="111">
        <v>0</v>
      </c>
      <c r="N95" s="111">
        <v>18763.261399999999</v>
      </c>
      <c r="O95" s="111">
        <v>1081.835</v>
      </c>
      <c r="P95" s="112" t="s">
        <v>168</v>
      </c>
      <c r="Q95" s="111">
        <v>1123.9997000000001</v>
      </c>
      <c r="R95" s="111">
        <v>150287</v>
      </c>
      <c r="S95" s="111">
        <v>12909.690399999999</v>
      </c>
      <c r="T95" s="111">
        <v>13176.327879999999</v>
      </c>
      <c r="U95" s="111">
        <v>2201.1776500000001</v>
      </c>
      <c r="V95" s="111">
        <v>10622.314780000002</v>
      </c>
      <c r="W95" s="111">
        <v>48908.955399999999</v>
      </c>
      <c r="X95" s="111">
        <v>110966.9948</v>
      </c>
      <c r="Y95" s="111">
        <v>151492</v>
      </c>
      <c r="Z95" s="111">
        <v>235093.25302999999</v>
      </c>
      <c r="AA95" s="111">
        <v>170702.5</v>
      </c>
      <c r="AB95" s="111">
        <v>3447.3564999999994</v>
      </c>
      <c r="AC95" s="111">
        <v>10158.42866</v>
      </c>
      <c r="AD95" s="111">
        <v>1156.1477399999999</v>
      </c>
      <c r="AE95" s="111">
        <v>418.52002999999996</v>
      </c>
      <c r="AF95" s="181">
        <v>0</v>
      </c>
      <c r="AG95" s="185"/>
      <c r="AH95" s="186"/>
      <c r="AI95" s="106"/>
    </row>
    <row r="96" spans="1:35" ht="17.25" customHeight="1" thickBot="1" x14ac:dyDescent="0.3">
      <c r="A96" s="119">
        <v>43818</v>
      </c>
      <c r="B96" s="108">
        <v>61746.542999999998</v>
      </c>
      <c r="C96" s="108">
        <v>234.8</v>
      </c>
      <c r="D96" s="108">
        <v>0</v>
      </c>
      <c r="E96" s="108">
        <v>2472.9130699999996</v>
      </c>
      <c r="F96" s="108">
        <v>425503.75099999999</v>
      </c>
      <c r="G96" s="108">
        <v>907.53120000000001</v>
      </c>
      <c r="H96" s="108">
        <v>39352.511399999996</v>
      </c>
      <c r="I96" s="108">
        <v>2911.0010499999999</v>
      </c>
      <c r="J96" s="108">
        <v>39229.0772</v>
      </c>
      <c r="K96" s="108">
        <v>8629.1396499999973</v>
      </c>
      <c r="L96" s="108">
        <v>3538.4407799999999</v>
      </c>
      <c r="M96" s="108">
        <v>420.44850000000002</v>
      </c>
      <c r="N96" s="108">
        <v>7701.6159999999991</v>
      </c>
      <c r="O96" s="108">
        <v>1463.6949999999997</v>
      </c>
      <c r="P96" s="109" t="s">
        <v>168</v>
      </c>
      <c r="Q96" s="108">
        <v>1363.0884999999998</v>
      </c>
      <c r="R96" s="108">
        <v>133435</v>
      </c>
      <c r="S96" s="108">
        <v>3735.6</v>
      </c>
      <c r="T96" s="108">
        <v>26552.286599999999</v>
      </c>
      <c r="U96" s="108">
        <v>3616.6893999999998</v>
      </c>
      <c r="V96" s="108">
        <v>327.68399999999997</v>
      </c>
      <c r="W96" s="108">
        <v>29132.504400000002</v>
      </c>
      <c r="X96" s="108">
        <v>71079</v>
      </c>
      <c r="Y96" s="108">
        <v>104993.0196</v>
      </c>
      <c r="Z96" s="108">
        <v>192179.6925</v>
      </c>
      <c r="AA96" s="108">
        <v>119959.66099999999</v>
      </c>
      <c r="AB96" s="108">
        <v>3808.4382500000002</v>
      </c>
      <c r="AC96" s="108">
        <v>21427.397199999999</v>
      </c>
      <c r="AD96" s="108">
        <v>1494.1629999999998</v>
      </c>
      <c r="AE96" s="108">
        <v>13.5654</v>
      </c>
      <c r="AF96" s="182">
        <v>0</v>
      </c>
      <c r="AG96" s="185"/>
      <c r="AH96" s="186"/>
      <c r="AI96" s="106"/>
    </row>
    <row r="97" spans="1:35" ht="17.25" customHeight="1" x14ac:dyDescent="0.25">
      <c r="A97" s="118">
        <v>43850</v>
      </c>
      <c r="B97" s="114">
        <v>1201.3031000000001</v>
      </c>
      <c r="C97" s="114">
        <v>3301.4188999999997</v>
      </c>
      <c r="D97" s="114">
        <v>68449.536399999983</v>
      </c>
      <c r="E97" s="114">
        <v>8725.0224299999991</v>
      </c>
      <c r="F97" s="114">
        <v>557460.12300000002</v>
      </c>
      <c r="G97" s="114">
        <v>6546.9130000000005</v>
      </c>
      <c r="H97" s="114">
        <v>73756.142860000007</v>
      </c>
      <c r="I97" s="114">
        <v>5764.4081999999999</v>
      </c>
      <c r="J97" s="114">
        <v>59701.579600000005</v>
      </c>
      <c r="K97" s="114">
        <v>11719.986099999995</v>
      </c>
      <c r="L97" s="114">
        <v>21040.840549999997</v>
      </c>
      <c r="M97" s="114">
        <v>301.0455</v>
      </c>
      <c r="N97" s="114">
        <v>4072.0700999999995</v>
      </c>
      <c r="O97" s="114">
        <v>5021.79</v>
      </c>
      <c r="P97" s="115" t="s">
        <v>168</v>
      </c>
      <c r="Q97" s="114">
        <v>4569.4849000000004</v>
      </c>
      <c r="R97" s="114">
        <v>178528</v>
      </c>
      <c r="S97" s="114">
        <v>15682.521400000001</v>
      </c>
      <c r="T97" s="114">
        <v>40310.780160000002</v>
      </c>
      <c r="U97" s="114">
        <v>8601.9891000000007</v>
      </c>
      <c r="V97" s="114">
        <v>8485.705750000001</v>
      </c>
      <c r="W97" s="114">
        <v>71464.798400000014</v>
      </c>
      <c r="X97" s="114">
        <v>121442.24619999999</v>
      </c>
      <c r="Y97" s="114">
        <v>150000</v>
      </c>
      <c r="Z97" s="114">
        <v>246012.33630999998</v>
      </c>
      <c r="AA97" s="114">
        <v>136360.5</v>
      </c>
      <c r="AB97" s="114">
        <v>16569.951950000006</v>
      </c>
      <c r="AC97" s="114">
        <v>30199.551100000001</v>
      </c>
      <c r="AD97" s="114">
        <v>9518.8311599999979</v>
      </c>
      <c r="AE97" s="91">
        <v>375.01041000000004</v>
      </c>
      <c r="AF97" s="180">
        <v>0</v>
      </c>
      <c r="AG97" s="185"/>
      <c r="AH97" s="186"/>
      <c r="AI97" s="106"/>
    </row>
    <row r="98" spans="1:35" ht="17.25" customHeight="1" x14ac:dyDescent="0.25">
      <c r="A98" s="117">
        <v>43881</v>
      </c>
      <c r="B98" s="111">
        <v>63416.681699999994</v>
      </c>
      <c r="C98" s="111">
        <v>34742.394980000005</v>
      </c>
      <c r="D98" s="111">
        <v>4914.0919999999996</v>
      </c>
      <c r="E98" s="111">
        <v>13746.388169999997</v>
      </c>
      <c r="F98" s="111">
        <v>463740.54319999996</v>
      </c>
      <c r="G98" s="111">
        <v>16196.923550000001</v>
      </c>
      <c r="H98" s="111">
        <v>87434.748260000008</v>
      </c>
      <c r="I98" s="111">
        <v>8072.8755499999997</v>
      </c>
      <c r="J98" s="111">
        <v>69281.137620000009</v>
      </c>
      <c r="K98" s="111">
        <v>7630.0650500000002</v>
      </c>
      <c r="L98" s="111">
        <v>440.51490000000001</v>
      </c>
      <c r="M98" s="111">
        <v>75.411000000000001</v>
      </c>
      <c r="N98" s="111">
        <v>9937.0032500000016</v>
      </c>
      <c r="O98" s="111">
        <v>2085.7030999999997</v>
      </c>
      <c r="P98" s="112" t="s">
        <v>168</v>
      </c>
      <c r="Q98" s="111">
        <v>3734.4275999999995</v>
      </c>
      <c r="R98" s="111">
        <v>134381</v>
      </c>
      <c r="S98" s="111">
        <v>55249.141229999987</v>
      </c>
      <c r="T98" s="111">
        <v>71193.112290000005</v>
      </c>
      <c r="U98" s="111">
        <v>24189.28599</v>
      </c>
      <c r="V98" s="111">
        <v>7223.8842500000001</v>
      </c>
      <c r="W98" s="111">
        <v>52052.160000000003</v>
      </c>
      <c r="X98" s="111">
        <v>67477.75</v>
      </c>
      <c r="Y98" s="111">
        <v>115010</v>
      </c>
      <c r="Z98" s="111">
        <v>246743.09422</v>
      </c>
      <c r="AA98" s="111">
        <v>131916.82199999999</v>
      </c>
      <c r="AB98" s="111">
        <v>2954.4109500000004</v>
      </c>
      <c r="AC98" s="111">
        <v>67650.650250000006</v>
      </c>
      <c r="AD98" s="111">
        <v>11671.522010000001</v>
      </c>
      <c r="AE98" s="111">
        <v>309.23106999999999</v>
      </c>
      <c r="AF98" s="181">
        <v>0</v>
      </c>
      <c r="AG98" s="185"/>
      <c r="AH98" s="186"/>
      <c r="AI98" s="106"/>
    </row>
    <row r="99" spans="1:35" ht="17.25" customHeight="1" thickBot="1" x14ac:dyDescent="0.3">
      <c r="A99" s="116">
        <v>43919</v>
      </c>
      <c r="B99" s="108">
        <v>84349.209600000002</v>
      </c>
      <c r="C99" s="108">
        <v>7225.772750000001</v>
      </c>
      <c r="D99" s="108">
        <v>32336.903399999999</v>
      </c>
      <c r="E99" s="108">
        <v>8906.5989399999999</v>
      </c>
      <c r="F99" s="108">
        <v>407093.62138000003</v>
      </c>
      <c r="G99" s="108">
        <v>7573.1125000000011</v>
      </c>
      <c r="H99" s="108">
        <v>116187.39109</v>
      </c>
      <c r="I99" s="108">
        <v>16775.73863</v>
      </c>
      <c r="J99" s="108">
        <v>152429.11997999999</v>
      </c>
      <c r="K99" s="108">
        <v>8332.1667200000011</v>
      </c>
      <c r="L99" s="108">
        <v>6184.4291999999996</v>
      </c>
      <c r="M99" s="108">
        <v>265.447</v>
      </c>
      <c r="N99" s="108">
        <v>4996.365499999999</v>
      </c>
      <c r="O99" s="108">
        <v>2479.8780999999999</v>
      </c>
      <c r="P99" s="109" t="s">
        <v>168</v>
      </c>
      <c r="Q99" s="108">
        <v>5376.0984599999992</v>
      </c>
      <c r="R99" s="108">
        <v>125186.6624</v>
      </c>
      <c r="S99" s="108">
        <v>35617.889009999992</v>
      </c>
      <c r="T99" s="108">
        <v>113718.26016000002</v>
      </c>
      <c r="U99" s="108">
        <v>18145.591379999998</v>
      </c>
      <c r="V99" s="108">
        <v>7051.2224600000009</v>
      </c>
      <c r="W99" s="108">
        <v>32851.921999999999</v>
      </c>
      <c r="X99" s="108">
        <v>78530.210200000001</v>
      </c>
      <c r="Y99" s="108">
        <v>118397.47966</v>
      </c>
      <c r="Z99" s="108">
        <v>197120.13449999999</v>
      </c>
      <c r="AA99" s="108">
        <v>228496.18852</v>
      </c>
      <c r="AB99" s="108">
        <v>5668.7897399999993</v>
      </c>
      <c r="AC99" s="108">
        <v>112690.96156000003</v>
      </c>
      <c r="AD99" s="108">
        <v>13032.28649</v>
      </c>
      <c r="AE99" s="108">
        <v>9740.5450199999977</v>
      </c>
      <c r="AF99" s="182">
        <v>1490.1</v>
      </c>
      <c r="AG99" s="185"/>
      <c r="AH99" s="186"/>
      <c r="AI99" s="106"/>
    </row>
    <row r="100" spans="1:35" ht="17.25" customHeight="1" x14ac:dyDescent="0.25">
      <c r="A100" s="113">
        <v>43941</v>
      </c>
      <c r="B100" s="114">
        <v>0</v>
      </c>
      <c r="C100" s="114">
        <v>1348.59645</v>
      </c>
      <c r="D100" s="114">
        <v>18650.170000000002</v>
      </c>
      <c r="E100" s="114">
        <v>4400.5803999999998</v>
      </c>
      <c r="F100" s="114">
        <v>391234.27875</v>
      </c>
      <c r="G100" s="114">
        <v>5320.0535</v>
      </c>
      <c r="H100" s="114">
        <v>61998.555609999996</v>
      </c>
      <c r="I100" s="114">
        <v>46530.476799999997</v>
      </c>
      <c r="J100" s="114">
        <v>48114.554400000001</v>
      </c>
      <c r="K100" s="114">
        <v>5017.2800500000003</v>
      </c>
      <c r="L100" s="114">
        <v>84.073800000000006</v>
      </c>
      <c r="M100" s="114">
        <v>75.411000000000001</v>
      </c>
      <c r="N100" s="114">
        <v>24286.67</v>
      </c>
      <c r="O100" s="114">
        <v>1314.15</v>
      </c>
      <c r="P100" s="115" t="s">
        <v>168</v>
      </c>
      <c r="Q100" s="114">
        <v>2219.6961500000002</v>
      </c>
      <c r="R100" s="114">
        <v>40294</v>
      </c>
      <c r="S100" s="114">
        <v>63465.2762</v>
      </c>
      <c r="T100" s="114">
        <v>58561.928599999999</v>
      </c>
      <c r="U100" s="114">
        <v>9126.4905999999992</v>
      </c>
      <c r="V100" s="114">
        <v>6836.2000000000007</v>
      </c>
      <c r="W100" s="114">
        <v>40744.357400000001</v>
      </c>
      <c r="X100" s="114">
        <v>92772</v>
      </c>
      <c r="Y100" s="114">
        <v>129785</v>
      </c>
      <c r="Z100" s="114">
        <v>198045.44200000001</v>
      </c>
      <c r="AA100" s="114">
        <v>236378.22349999999</v>
      </c>
      <c r="AB100" s="114">
        <v>610.51459999999997</v>
      </c>
      <c r="AC100" s="114">
        <v>61184.205800000003</v>
      </c>
      <c r="AD100" s="114">
        <v>3082.4530499999996</v>
      </c>
      <c r="AE100" s="91">
        <v>941.88940000000002</v>
      </c>
      <c r="AF100" s="180">
        <v>218.5</v>
      </c>
      <c r="AG100" s="185"/>
      <c r="AH100" s="186"/>
      <c r="AI100" s="106"/>
    </row>
    <row r="101" spans="1:35" ht="17.25" customHeight="1" x14ac:dyDescent="0.25">
      <c r="A101" s="110">
        <v>43971</v>
      </c>
      <c r="B101" s="111">
        <v>5103.0418</v>
      </c>
      <c r="C101" s="111">
        <v>2353.6758300000001</v>
      </c>
      <c r="D101" s="111">
        <v>54491.366199999997</v>
      </c>
      <c r="E101" s="111">
        <v>2562.7935400000006</v>
      </c>
      <c r="F101" s="111">
        <v>240174.97288000002</v>
      </c>
      <c r="G101" s="111">
        <v>2328.8173000000002</v>
      </c>
      <c r="H101" s="111">
        <v>28227.905830000003</v>
      </c>
      <c r="I101" s="111">
        <v>7065.80728</v>
      </c>
      <c r="J101" s="111">
        <v>117250.89269999998</v>
      </c>
      <c r="K101" s="111">
        <v>3378.6688999999997</v>
      </c>
      <c r="L101" s="111">
        <v>11020.4319</v>
      </c>
      <c r="M101" s="111">
        <v>150.822</v>
      </c>
      <c r="N101" s="111">
        <v>2924.5392500000007</v>
      </c>
      <c r="O101" s="111">
        <v>611.11699999999996</v>
      </c>
      <c r="P101" s="112" t="s">
        <v>168</v>
      </c>
      <c r="Q101" s="111">
        <v>675.04636000000005</v>
      </c>
      <c r="R101" s="111">
        <v>57441</v>
      </c>
      <c r="S101" s="111">
        <v>12196.002410000001</v>
      </c>
      <c r="T101" s="111">
        <v>87261.223530000032</v>
      </c>
      <c r="U101" s="111">
        <v>1619.5497500000001</v>
      </c>
      <c r="V101" s="111">
        <v>10344.4004</v>
      </c>
      <c r="W101" s="111">
        <v>11856.882</v>
      </c>
      <c r="X101" s="111">
        <v>41316.379840000001</v>
      </c>
      <c r="Y101" s="111">
        <v>80159.154899999994</v>
      </c>
      <c r="Z101" s="111">
        <v>136758.21831999999</v>
      </c>
      <c r="AA101" s="111">
        <v>133262.11806000001</v>
      </c>
      <c r="AB101" s="111">
        <v>10480.6265</v>
      </c>
      <c r="AC101" s="111">
        <v>79206.514170000009</v>
      </c>
      <c r="AD101" s="111">
        <v>1162.8104699999999</v>
      </c>
      <c r="AE101" s="111">
        <v>680.39451999999994</v>
      </c>
      <c r="AF101" s="181">
        <v>150</v>
      </c>
      <c r="AG101" s="185"/>
      <c r="AH101" s="186"/>
      <c r="AI101" s="106"/>
    </row>
    <row r="102" spans="1:35" ht="17.25" customHeight="1" thickBot="1" x14ac:dyDescent="0.3">
      <c r="A102" s="107">
        <v>44002</v>
      </c>
      <c r="B102" s="108">
        <v>1253.3031000000001</v>
      </c>
      <c r="C102" s="108">
        <v>1832.6133299999999</v>
      </c>
      <c r="D102" s="108">
        <v>74488.835200000001</v>
      </c>
      <c r="E102" s="108">
        <v>2121.2731399999998</v>
      </c>
      <c r="F102" s="108">
        <v>24610.976999999999</v>
      </c>
      <c r="G102" s="108">
        <v>7444.3652999999995</v>
      </c>
      <c r="H102" s="108">
        <v>72056.49807999999</v>
      </c>
      <c r="I102" s="108">
        <v>6152.287260000001</v>
      </c>
      <c r="J102" s="108">
        <v>97195.550799999983</v>
      </c>
      <c r="K102" s="108">
        <v>4428.6077999999998</v>
      </c>
      <c r="L102" s="108">
        <v>742.05585999999994</v>
      </c>
      <c r="M102" s="108">
        <v>490.42380000000003</v>
      </c>
      <c r="N102" s="108">
        <v>2847.6480000000001</v>
      </c>
      <c r="O102" s="108">
        <v>294.33560000000006</v>
      </c>
      <c r="P102" s="109" t="s">
        <v>168</v>
      </c>
      <c r="Q102" s="108">
        <v>575.58839999999998</v>
      </c>
      <c r="R102" s="108">
        <v>9230</v>
      </c>
      <c r="S102" s="108">
        <v>8462.0774000000001</v>
      </c>
      <c r="T102" s="108">
        <v>73132.923900000023</v>
      </c>
      <c r="U102" s="108">
        <v>10888.985189999999</v>
      </c>
      <c r="V102" s="108">
        <v>1164.9575600000001</v>
      </c>
      <c r="W102" s="108">
        <v>5056</v>
      </c>
      <c r="X102" s="108">
        <v>4193.7739600000004</v>
      </c>
      <c r="Y102" s="108">
        <v>10162.60766</v>
      </c>
      <c r="Z102" s="108">
        <v>17002.209940000001</v>
      </c>
      <c r="AA102" s="108">
        <v>18366</v>
      </c>
      <c r="AB102" s="108">
        <v>3555.73794</v>
      </c>
      <c r="AC102" s="108">
        <v>82366.186199999996</v>
      </c>
      <c r="AD102" s="108">
        <v>3959.5714699999999</v>
      </c>
      <c r="AE102" s="108">
        <v>571.91485999999998</v>
      </c>
      <c r="AF102" s="182">
        <v>150</v>
      </c>
      <c r="AG102" s="185"/>
      <c r="AH102" s="186"/>
      <c r="AI102" s="106"/>
    </row>
    <row r="112" spans="1:35" ht="17.25" customHeight="1" x14ac:dyDescent="0.25">
      <c r="A112" s="106"/>
    </row>
    <row r="113" spans="1:1" ht="17.25" customHeight="1" x14ac:dyDescent="0.25">
      <c r="A113" s="106"/>
    </row>
    <row r="114" spans="1:1" ht="17.25" customHeight="1" x14ac:dyDescent="0.25">
      <c r="A114" s="106"/>
    </row>
    <row r="115" spans="1:1" ht="17.25" customHeight="1" x14ac:dyDescent="0.25">
      <c r="A115" s="106"/>
    </row>
    <row r="116" spans="1:1" ht="17.25" customHeight="1" x14ac:dyDescent="0.25">
      <c r="A116" s="106"/>
    </row>
    <row r="133" spans="1:1" ht="17.25" customHeight="1" x14ac:dyDescent="0.25">
      <c r="A133" s="106"/>
    </row>
    <row r="134" spans="1:1" ht="17.25" customHeight="1" x14ac:dyDescent="0.25">
      <c r="A134" s="106"/>
    </row>
    <row r="135" spans="1:1" ht="17.25" customHeight="1" x14ac:dyDescent="0.25">
      <c r="A135" s="106"/>
    </row>
    <row r="136" spans="1:1" ht="17.25" customHeight="1" x14ac:dyDescent="0.25">
      <c r="A136" s="106"/>
    </row>
    <row r="137" spans="1:1" ht="17.25" customHeight="1" x14ac:dyDescent="0.25">
      <c r="A137" s="106"/>
    </row>
  </sheetData>
  <pageMargins left="0.7" right="0.7" top="0.75" bottom="0.75" header="0.3" footer="0.3"/>
  <pageSetup paperSize="5" scale="26" orientation="landscape" r:id="rId1"/>
  <customProperties>
    <customPr name="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8850-5B2C-4421-B5A8-39100D37F129}">
  <dimension ref="A1:AJ137"/>
  <sheetViews>
    <sheetView topLeftCell="W1" zoomScaleNormal="100" workbookViewId="0">
      <pane ySplit="1" topLeftCell="A2" activePane="bottomLeft" state="frozen"/>
      <selection pane="bottomLeft" activeCell="B2" sqref="B2:AF13"/>
    </sheetView>
  </sheetViews>
  <sheetFormatPr defaultColWidth="9.140625" defaultRowHeight="17.25" customHeight="1" x14ac:dyDescent="0.25"/>
  <cols>
    <col min="1" max="1" width="12" style="105" customWidth="1"/>
    <col min="2" max="2" width="16.85546875" style="105" customWidth="1"/>
    <col min="3" max="3" width="21" style="105" customWidth="1"/>
    <col min="4" max="4" width="18.28515625" style="105" customWidth="1"/>
    <col min="5" max="5" width="18.140625" style="105" customWidth="1"/>
    <col min="6" max="6" width="16" style="105" customWidth="1"/>
    <col min="7" max="7" width="18.140625" style="105" customWidth="1"/>
    <col min="8" max="8" width="18.42578125" style="105" customWidth="1"/>
    <col min="9" max="9" width="18.28515625" style="105" customWidth="1"/>
    <col min="10" max="10" width="19.7109375" style="105" customWidth="1"/>
    <col min="11" max="11" width="18.7109375" style="105" customWidth="1"/>
    <col min="12" max="12" width="17.28515625" style="105" customWidth="1"/>
    <col min="13" max="14" width="18.5703125" style="105" customWidth="1"/>
    <col min="15" max="15" width="18" style="105" customWidth="1"/>
    <col min="16" max="16" width="15.5703125" style="105" customWidth="1"/>
    <col min="17" max="17" width="18.140625" style="105" customWidth="1"/>
    <col min="18" max="18" width="18" style="105" customWidth="1"/>
    <col min="19" max="19" width="16.5703125" style="105" customWidth="1"/>
    <col min="20" max="20" width="18" style="105" customWidth="1"/>
    <col min="21" max="21" width="18.140625" style="105" customWidth="1"/>
    <col min="22" max="22" width="18.42578125" style="105" customWidth="1"/>
    <col min="23" max="23" width="18.5703125" style="105" customWidth="1"/>
    <col min="24" max="24" width="17.28515625" style="105" customWidth="1"/>
    <col min="25" max="26" width="18.140625" style="105" customWidth="1"/>
    <col min="27" max="27" width="18.85546875" style="105" customWidth="1"/>
    <col min="28" max="28" width="20" style="105" customWidth="1"/>
    <col min="29" max="29" width="19" style="105" customWidth="1"/>
    <col min="30" max="30" width="18.5703125" style="105" customWidth="1"/>
    <col min="31" max="31" width="19" style="105" customWidth="1"/>
    <col min="32" max="32" width="17.5703125" style="105" customWidth="1"/>
    <col min="33" max="16384" width="9.140625" style="105"/>
  </cols>
  <sheetData>
    <row r="1" spans="1:33" ht="17.25" customHeight="1" x14ac:dyDescent="0.25">
      <c r="A1" s="151" t="s">
        <v>185</v>
      </c>
      <c r="B1" s="151" t="s">
        <v>115</v>
      </c>
      <c r="C1" s="151" t="s">
        <v>117</v>
      </c>
      <c r="D1" s="154" t="s">
        <v>119</v>
      </c>
      <c r="E1" s="151" t="s">
        <v>121</v>
      </c>
      <c r="F1" s="151" t="s">
        <v>123</v>
      </c>
      <c r="G1" s="151" t="s">
        <v>125</v>
      </c>
      <c r="H1" s="151" t="s">
        <v>127</v>
      </c>
      <c r="I1" s="153" t="s">
        <v>129</v>
      </c>
      <c r="J1" s="151" t="s">
        <v>131</v>
      </c>
      <c r="K1" s="153" t="s">
        <v>186</v>
      </c>
      <c r="L1" s="152" t="s">
        <v>135</v>
      </c>
      <c r="M1" s="151" t="s">
        <v>187</v>
      </c>
      <c r="N1" s="151" t="s">
        <v>139</v>
      </c>
      <c r="O1" s="151" t="s">
        <v>141</v>
      </c>
      <c r="P1" s="151" t="s">
        <v>143</v>
      </c>
      <c r="Q1" s="151" t="s">
        <v>144</v>
      </c>
      <c r="R1" s="151" t="s">
        <v>146</v>
      </c>
      <c r="S1" s="151" t="s">
        <v>148</v>
      </c>
      <c r="T1" s="151" t="s">
        <v>150</v>
      </c>
      <c r="U1" s="151" t="s">
        <v>152</v>
      </c>
      <c r="V1" s="151" t="s">
        <v>154</v>
      </c>
      <c r="W1" s="151" t="s">
        <v>188</v>
      </c>
      <c r="X1" s="151" t="s">
        <v>158</v>
      </c>
      <c r="Y1" s="151" t="s">
        <v>160</v>
      </c>
      <c r="Z1" s="151" t="s">
        <v>162</v>
      </c>
      <c r="AA1" s="151" t="s">
        <v>164</v>
      </c>
      <c r="AB1" s="151" t="s">
        <v>166</v>
      </c>
      <c r="AC1" s="151" t="s">
        <v>189</v>
      </c>
      <c r="AD1" s="151" t="s">
        <v>190</v>
      </c>
      <c r="AE1" s="151" t="s">
        <v>174</v>
      </c>
      <c r="AF1" s="151" t="s">
        <v>176</v>
      </c>
    </row>
    <row r="2" spans="1:33" ht="17.25" customHeight="1" x14ac:dyDescent="0.25">
      <c r="A2" s="150" t="s">
        <v>191</v>
      </c>
      <c r="B2" s="139">
        <v>880.23109999999997</v>
      </c>
      <c r="C2" s="139">
        <v>2532.7596599999997</v>
      </c>
      <c r="D2" s="139">
        <v>84909.831460000001</v>
      </c>
      <c r="E2" s="139">
        <v>2087.3395399999999</v>
      </c>
      <c r="F2" s="139">
        <v>65942.40552</v>
      </c>
      <c r="G2" s="139">
        <v>2428.3952000000004</v>
      </c>
      <c r="H2" s="139">
        <v>34848.238159999994</v>
      </c>
      <c r="I2" s="139">
        <v>3727.9338000000002</v>
      </c>
      <c r="J2" s="139">
        <v>46984.839599999992</v>
      </c>
      <c r="K2" s="139">
        <v>3899.2746000000006</v>
      </c>
      <c r="L2" s="139">
        <v>1326.66508</v>
      </c>
      <c r="M2" s="139">
        <v>330.2235</v>
      </c>
      <c r="N2" s="139">
        <v>3058.1279999999997</v>
      </c>
      <c r="O2" s="139">
        <v>122.77250000000001</v>
      </c>
      <c r="P2" s="139" t="s">
        <v>168</v>
      </c>
      <c r="Q2" s="139">
        <v>698.01886000000002</v>
      </c>
      <c r="R2" s="139">
        <v>5016.5</v>
      </c>
      <c r="S2" s="139">
        <v>15045.39186</v>
      </c>
      <c r="T2" s="139">
        <v>53069.321619999995</v>
      </c>
      <c r="U2" s="139">
        <v>1678.8571100000001</v>
      </c>
      <c r="V2" s="139">
        <v>5199.6660000000002</v>
      </c>
      <c r="W2" s="139">
        <v>0</v>
      </c>
      <c r="X2" s="139">
        <v>11064.767240000001</v>
      </c>
      <c r="Y2" s="139">
        <v>7.4909999999999997</v>
      </c>
      <c r="Z2" s="139">
        <v>6420</v>
      </c>
      <c r="AA2" s="139">
        <v>20715.716560000001</v>
      </c>
      <c r="AB2" s="139">
        <v>16626.536100000001</v>
      </c>
      <c r="AC2" s="139">
        <v>55486.162779999999</v>
      </c>
      <c r="AD2" s="139">
        <v>2083.0332000000003</v>
      </c>
      <c r="AE2" s="111">
        <v>302.63890000000004</v>
      </c>
      <c r="AF2" s="167">
        <v>0</v>
      </c>
    </row>
    <row r="3" spans="1:33" ht="17.25" customHeight="1" x14ac:dyDescent="0.25">
      <c r="A3" s="150" t="s">
        <v>192</v>
      </c>
      <c r="B3" s="139">
        <v>31800.656200000001</v>
      </c>
      <c r="C3" s="139">
        <v>1612.2304599999998</v>
      </c>
      <c r="D3" s="139">
        <v>10972.996150000001</v>
      </c>
      <c r="E3" s="139">
        <v>543.37480000000005</v>
      </c>
      <c r="F3" s="139">
        <v>13548.654409999999</v>
      </c>
      <c r="G3" s="139">
        <v>1259.5118500000001</v>
      </c>
      <c r="H3" s="139">
        <v>49457.688069999975</v>
      </c>
      <c r="I3" s="139">
        <v>5080.3427599999995</v>
      </c>
      <c r="J3" s="139">
        <v>57905.535199999991</v>
      </c>
      <c r="K3" s="139">
        <v>7718.4631500000005</v>
      </c>
      <c r="L3" s="139">
        <v>921.28886000000011</v>
      </c>
      <c r="M3" s="139">
        <v>290.54925000000003</v>
      </c>
      <c r="N3" s="139">
        <v>11590.817509999999</v>
      </c>
      <c r="O3" s="139">
        <v>593.36450000000002</v>
      </c>
      <c r="P3" s="139" t="s">
        <v>168</v>
      </c>
      <c r="Q3" s="139">
        <v>907.27510000000018</v>
      </c>
      <c r="R3" s="139">
        <v>7109.5</v>
      </c>
      <c r="S3" s="139">
        <v>6144.1130499999999</v>
      </c>
      <c r="T3" s="139">
        <v>42432.572900000006</v>
      </c>
      <c r="U3" s="139">
        <v>8497.4593999999997</v>
      </c>
      <c r="V3" s="139">
        <v>4734.4264499999999</v>
      </c>
      <c r="W3" s="139">
        <v>3324.96</v>
      </c>
      <c r="X3" s="139">
        <v>7981.8790099999997</v>
      </c>
      <c r="Y3" s="139">
        <v>9.3637499999999996</v>
      </c>
      <c r="Z3" s="139">
        <v>12146.49703</v>
      </c>
      <c r="AA3" s="139">
        <v>18570.71775</v>
      </c>
      <c r="AB3" s="139">
        <v>-15672.511830000001</v>
      </c>
      <c r="AC3" s="139">
        <v>50077.57640000002</v>
      </c>
      <c r="AD3" s="139">
        <v>1891.2452000000001</v>
      </c>
      <c r="AE3" s="111">
        <v>200.29093</v>
      </c>
      <c r="AF3" s="157">
        <v>0</v>
      </c>
    </row>
    <row r="4" spans="1:33" ht="17.25" customHeight="1" thickBot="1" x14ac:dyDescent="0.3">
      <c r="A4" s="149" t="s">
        <v>193</v>
      </c>
      <c r="B4" s="136">
        <v>1287.2568500000002</v>
      </c>
      <c r="C4" s="136">
        <v>2721.4486200000001</v>
      </c>
      <c r="D4" s="136">
        <v>0</v>
      </c>
      <c r="E4" s="136">
        <v>305.59073999999998</v>
      </c>
      <c r="F4" s="136">
        <v>91329.131999999983</v>
      </c>
      <c r="G4" s="136">
        <v>5644.3060999999989</v>
      </c>
      <c r="H4" s="136">
        <v>23935.486490000003</v>
      </c>
      <c r="I4" s="136">
        <v>2486.2382499999999</v>
      </c>
      <c r="J4" s="136">
        <v>67089.662700000015</v>
      </c>
      <c r="K4" s="136">
        <v>3435.7913200000003</v>
      </c>
      <c r="L4" s="136">
        <v>19536.1296</v>
      </c>
      <c r="M4" s="136">
        <v>0</v>
      </c>
      <c r="N4" s="136">
        <v>15675.259959999999</v>
      </c>
      <c r="O4" s="136">
        <v>158.07499999999999</v>
      </c>
      <c r="P4" s="136" t="s">
        <v>168</v>
      </c>
      <c r="Q4" s="136">
        <v>1499.2920200000001</v>
      </c>
      <c r="R4" s="136">
        <v>21740</v>
      </c>
      <c r="S4" s="136">
        <v>5245.0306</v>
      </c>
      <c r="T4" s="136">
        <v>48591.04434</v>
      </c>
      <c r="U4" s="136">
        <v>3517.0553499999996</v>
      </c>
      <c r="V4" s="136">
        <v>4322.3442000000005</v>
      </c>
      <c r="W4" s="136">
        <v>31341.862699999998</v>
      </c>
      <c r="X4" s="136">
        <v>23907.493399999999</v>
      </c>
      <c r="Y4" s="136">
        <v>19445</v>
      </c>
      <c r="Z4" s="136">
        <v>34661.474900000001</v>
      </c>
      <c r="AA4" s="136">
        <v>73630.316599999991</v>
      </c>
      <c r="AB4" s="136">
        <v>-342.49420000000009</v>
      </c>
      <c r="AC4" s="136">
        <v>45268.927550000008</v>
      </c>
      <c r="AD4" s="136">
        <v>-16869.287349999999</v>
      </c>
      <c r="AE4" s="108">
        <v>434.71880999999996</v>
      </c>
      <c r="AF4" s="156">
        <v>0</v>
      </c>
    </row>
    <row r="5" spans="1:33" ht="17.25" customHeight="1" x14ac:dyDescent="0.25">
      <c r="A5" s="148" t="s">
        <v>194</v>
      </c>
      <c r="B5" s="147">
        <v>658.14194999999995</v>
      </c>
      <c r="C5" s="147">
        <v>2168.5922099999998</v>
      </c>
      <c r="D5" s="147">
        <v>0.70950000000000002</v>
      </c>
      <c r="E5" s="147">
        <v>3488.9129900000007</v>
      </c>
      <c r="F5" s="147">
        <v>392934.93907999998</v>
      </c>
      <c r="G5" s="147">
        <v>4618.8696</v>
      </c>
      <c r="H5" s="147">
        <v>42942.365129999998</v>
      </c>
      <c r="I5" s="147">
        <v>1505.4456</v>
      </c>
      <c r="J5" s="147">
        <v>60446.539679999987</v>
      </c>
      <c r="K5" s="147">
        <v>3591.83635</v>
      </c>
      <c r="L5" s="147">
        <v>5569.2523099999999</v>
      </c>
      <c r="M5" s="147">
        <v>815.80909999999994</v>
      </c>
      <c r="N5" s="147">
        <v>21232.173400000003</v>
      </c>
      <c r="O5" s="147">
        <v>548.30250000000001</v>
      </c>
      <c r="P5" s="147" t="s">
        <v>168</v>
      </c>
      <c r="Q5" s="147">
        <v>1824.0091100000002</v>
      </c>
      <c r="R5" s="147">
        <v>110779.4</v>
      </c>
      <c r="S5" s="147">
        <v>4334.8122599999997</v>
      </c>
      <c r="T5" s="147">
        <v>43447.118360000008</v>
      </c>
      <c r="U5" s="147">
        <v>6746.8173300000017</v>
      </c>
      <c r="V5" s="147">
        <v>5936.4972599999992</v>
      </c>
      <c r="W5" s="147">
        <v>16235.371200000003</v>
      </c>
      <c r="X5" s="147">
        <v>76068.458799999993</v>
      </c>
      <c r="Y5" s="147">
        <v>96794.503660000002</v>
      </c>
      <c r="Z5" s="147">
        <v>216713.73733999999</v>
      </c>
      <c r="AA5" s="147">
        <v>135271.61806000001</v>
      </c>
      <c r="AB5" s="147">
        <v>337.80279999999999</v>
      </c>
      <c r="AC5" s="147">
        <v>47162.866360000007</v>
      </c>
      <c r="AD5" s="147">
        <v>386.44485000000003</v>
      </c>
      <c r="AE5" s="91">
        <v>550.89702999999997</v>
      </c>
      <c r="AF5" s="158">
        <v>0</v>
      </c>
    </row>
    <row r="6" spans="1:33" ht="17.25" customHeight="1" x14ac:dyDescent="0.25">
      <c r="A6" s="132" t="s">
        <v>195</v>
      </c>
      <c r="B6" s="139">
        <v>1067.23281</v>
      </c>
      <c r="C6" s="139">
        <v>2678.8449599999999</v>
      </c>
      <c r="D6" s="139">
        <v>0</v>
      </c>
      <c r="E6" s="139">
        <v>2650.4494799999998</v>
      </c>
      <c r="F6" s="139">
        <v>529469.74339999992</v>
      </c>
      <c r="G6" s="139">
        <v>3690.4746</v>
      </c>
      <c r="H6" s="139">
        <v>21154.819300000003</v>
      </c>
      <c r="I6" s="139">
        <v>1703.7079500000002</v>
      </c>
      <c r="J6" s="139">
        <v>0</v>
      </c>
      <c r="K6" s="139">
        <v>6832.9944199999991</v>
      </c>
      <c r="L6" s="139">
        <v>295.52069999999998</v>
      </c>
      <c r="M6" s="139">
        <v>0</v>
      </c>
      <c r="N6" s="139">
        <v>7195.0429199999999</v>
      </c>
      <c r="O6" s="139">
        <v>574.69499999999994</v>
      </c>
      <c r="P6" s="139" t="s">
        <v>168</v>
      </c>
      <c r="Q6" s="139">
        <v>2809.28431</v>
      </c>
      <c r="R6" s="139">
        <v>141070.5</v>
      </c>
      <c r="S6" s="139">
        <v>3126.0288</v>
      </c>
      <c r="T6" s="139">
        <v>5240.63</v>
      </c>
      <c r="U6" s="139">
        <v>1255.78728</v>
      </c>
      <c r="V6" s="139">
        <v>3228.5198099999998</v>
      </c>
      <c r="W6" s="139">
        <v>41065.058400000002</v>
      </c>
      <c r="X6" s="139">
        <v>105126.8668</v>
      </c>
      <c r="Y6" s="139">
        <v>129890.77616000001</v>
      </c>
      <c r="Z6" s="139">
        <v>239459.48214000001</v>
      </c>
      <c r="AA6" s="139">
        <v>160372.72349999999</v>
      </c>
      <c r="AB6" s="139">
        <v>1168.8122000000001</v>
      </c>
      <c r="AC6" s="139">
        <v>2649.0349999999999</v>
      </c>
      <c r="AD6" s="139">
        <v>706.82066000000009</v>
      </c>
      <c r="AE6" s="111">
        <v>303.28251999999998</v>
      </c>
      <c r="AF6" s="157">
        <v>0</v>
      </c>
    </row>
    <row r="7" spans="1:33" ht="17.25" customHeight="1" thickBot="1" x14ac:dyDescent="0.3">
      <c r="A7" s="146" t="s">
        <v>196</v>
      </c>
      <c r="B7" s="136">
        <v>93229.684600000008</v>
      </c>
      <c r="C7" s="136">
        <v>1737.09277</v>
      </c>
      <c r="D7" s="136">
        <v>0</v>
      </c>
      <c r="E7" s="136">
        <v>3547.9208400000002</v>
      </c>
      <c r="F7" s="136">
        <v>501040.84013999993</v>
      </c>
      <c r="G7" s="136">
        <v>1895.4638000000002</v>
      </c>
      <c r="H7" s="136">
        <v>50102.762749999994</v>
      </c>
      <c r="I7" s="136">
        <v>3144.1633999999999</v>
      </c>
      <c r="J7" s="136">
        <v>40111.167000000001</v>
      </c>
      <c r="K7" s="136">
        <v>7052.0176199999996</v>
      </c>
      <c r="L7" s="136">
        <v>873.39773999999977</v>
      </c>
      <c r="M7" s="136">
        <v>190.4238</v>
      </c>
      <c r="N7" s="136">
        <v>18758.063600000001</v>
      </c>
      <c r="O7" s="136">
        <v>1184.1956</v>
      </c>
      <c r="P7" s="136" t="s">
        <v>168</v>
      </c>
      <c r="Q7" s="136">
        <v>4060.5696999999996</v>
      </c>
      <c r="R7" s="136">
        <v>138518.20000000001</v>
      </c>
      <c r="S7" s="136">
        <v>8452.5692500000005</v>
      </c>
      <c r="T7" s="136">
        <v>27396.773200000003</v>
      </c>
      <c r="U7" s="136">
        <v>3524.5357399999998</v>
      </c>
      <c r="V7" s="136">
        <v>4844.5410999999986</v>
      </c>
      <c r="W7" s="136">
        <v>68676.974300000002</v>
      </c>
      <c r="X7" s="136">
        <v>82968.344960000002</v>
      </c>
      <c r="Y7" s="136">
        <v>135005</v>
      </c>
      <c r="Z7" s="136">
        <v>242252.20355999999</v>
      </c>
      <c r="AA7" s="136">
        <v>146398.4803</v>
      </c>
      <c r="AB7" s="136">
        <v>-1506.6149999999998</v>
      </c>
      <c r="AC7" s="136">
        <v>25259.150900000001</v>
      </c>
      <c r="AD7" s="136">
        <v>935.71255000000008</v>
      </c>
      <c r="AE7" s="164">
        <v>516.46641999999997</v>
      </c>
      <c r="AF7" s="156">
        <v>374.90836000000002</v>
      </c>
    </row>
    <row r="8" spans="1:33" ht="17.25" customHeight="1" x14ac:dyDescent="0.25">
      <c r="A8" s="145" t="s">
        <v>197</v>
      </c>
      <c r="B8" s="142">
        <v>691.81110000000001</v>
      </c>
      <c r="C8" s="142">
        <v>4528.6694800000005</v>
      </c>
      <c r="D8" s="142">
        <v>0</v>
      </c>
      <c r="E8" s="142">
        <v>4984.6961399999991</v>
      </c>
      <c r="F8" s="142">
        <v>498501.28167999996</v>
      </c>
      <c r="G8" s="142">
        <v>5427.9764000000005</v>
      </c>
      <c r="H8" s="142">
        <v>36907.285840000004</v>
      </c>
      <c r="I8" s="142">
        <v>5008.4481900000001</v>
      </c>
      <c r="J8" s="142">
        <v>39453.005599999997</v>
      </c>
      <c r="K8" s="142">
        <v>6829.7025999999996</v>
      </c>
      <c r="L8" s="142">
        <v>11364.142400000001</v>
      </c>
      <c r="M8" s="142">
        <v>-0.39999999999997726</v>
      </c>
      <c r="N8" s="142">
        <v>8690.6851999999999</v>
      </c>
      <c r="O8" s="142">
        <v>1686.0075000000002</v>
      </c>
      <c r="P8" s="142" t="s">
        <v>168</v>
      </c>
      <c r="Q8" s="142">
        <v>3608.2775799999999</v>
      </c>
      <c r="R8" s="142">
        <v>143486</v>
      </c>
      <c r="S8" s="142">
        <v>7918.65726</v>
      </c>
      <c r="T8" s="142">
        <v>28769.76612</v>
      </c>
      <c r="U8" s="142">
        <v>3053.76413</v>
      </c>
      <c r="V8" s="142">
        <v>4716.8718499999995</v>
      </c>
      <c r="W8" s="142">
        <v>12073.607600000001</v>
      </c>
      <c r="X8" s="142">
        <v>96935.806400000001</v>
      </c>
      <c r="Y8" s="142">
        <v>135005</v>
      </c>
      <c r="Z8" s="142">
        <v>247285.68161</v>
      </c>
      <c r="AA8" s="142">
        <v>162366.61806000001</v>
      </c>
      <c r="AB8" s="142">
        <v>4924.7371999999996</v>
      </c>
      <c r="AC8" s="142">
        <v>23528.592779999999</v>
      </c>
      <c r="AD8" s="142">
        <v>4533.2794500000009</v>
      </c>
      <c r="AE8" s="166">
        <v>548.25021000000004</v>
      </c>
      <c r="AF8" s="158">
        <v>3685</v>
      </c>
    </row>
    <row r="9" spans="1:33" ht="17.25" customHeight="1" x14ac:dyDescent="0.25">
      <c r="A9" s="131" t="s">
        <v>198</v>
      </c>
      <c r="B9" s="139">
        <v>163546.77231999996</v>
      </c>
      <c r="C9" s="139">
        <v>37039.242380000011</v>
      </c>
      <c r="D9" s="139">
        <v>170.17027999999999</v>
      </c>
      <c r="E9" s="139">
        <v>12896.07892</v>
      </c>
      <c r="F9" s="139">
        <v>512257.17600000004</v>
      </c>
      <c r="G9" s="139">
        <v>18861.147700000001</v>
      </c>
      <c r="H9" s="139">
        <v>85478.480660000001</v>
      </c>
      <c r="I9" s="139">
        <v>16661.616949999996</v>
      </c>
      <c r="J9" s="139">
        <v>45499.379000000001</v>
      </c>
      <c r="K9" s="139">
        <v>6558.9269199999999</v>
      </c>
      <c r="L9" s="139">
        <v>20776.826829999998</v>
      </c>
      <c r="M9" s="139">
        <v>190.4238</v>
      </c>
      <c r="N9" s="139">
        <v>5983.9539999999997</v>
      </c>
      <c r="O9" s="139">
        <v>3301.3540000000003</v>
      </c>
      <c r="P9" s="139" t="s">
        <v>168</v>
      </c>
      <c r="Q9" s="139">
        <v>6347.4779199999994</v>
      </c>
      <c r="R9" s="139">
        <v>122460</v>
      </c>
      <c r="S9" s="139">
        <v>34034.741700000006</v>
      </c>
      <c r="T9" s="139">
        <v>42816.830700000006</v>
      </c>
      <c r="U9" s="139">
        <v>18577.173360000001</v>
      </c>
      <c r="V9" s="139">
        <v>9538.2644999999993</v>
      </c>
      <c r="W9" s="139">
        <v>67179.095199999996</v>
      </c>
      <c r="X9" s="139">
        <v>100197.9418</v>
      </c>
      <c r="Y9" s="139">
        <v>119949.49460000001</v>
      </c>
      <c r="Z9" s="139">
        <v>209332.22756</v>
      </c>
      <c r="AA9" s="139">
        <v>137586.80499999999</v>
      </c>
      <c r="AB9" s="139">
        <v>5858.1481899999999</v>
      </c>
      <c r="AC9" s="139">
        <v>39271.443299999999</v>
      </c>
      <c r="AD9" s="139">
        <v>13774.331109999997</v>
      </c>
      <c r="AE9" s="165">
        <v>18378.973909999997</v>
      </c>
      <c r="AF9" s="157">
        <v>7441.6</v>
      </c>
    </row>
    <row r="10" spans="1:33" ht="17.25" customHeight="1" thickBot="1" x14ac:dyDescent="0.3">
      <c r="A10" s="144" t="s">
        <v>199</v>
      </c>
      <c r="B10" s="136">
        <v>238681.85738</v>
      </c>
      <c r="C10" s="136">
        <v>30189.001980000005</v>
      </c>
      <c r="D10" s="136">
        <v>35582.214850000004</v>
      </c>
      <c r="E10" s="136">
        <v>8498.3143499999969</v>
      </c>
      <c r="F10" s="136">
        <v>351899.15448000008</v>
      </c>
      <c r="G10" s="136">
        <v>11778.716049999997</v>
      </c>
      <c r="H10" s="136">
        <v>83365.814129999999</v>
      </c>
      <c r="I10" s="136">
        <v>33915.40628000001</v>
      </c>
      <c r="J10" s="136">
        <v>96943.372399999978</v>
      </c>
      <c r="K10" s="136">
        <v>10948.38183</v>
      </c>
      <c r="L10" s="136">
        <v>39501.044009999998</v>
      </c>
      <c r="M10" s="136">
        <v>0</v>
      </c>
      <c r="N10" s="136">
        <v>9243.39</v>
      </c>
      <c r="O10" s="136">
        <v>3365.3162500000003</v>
      </c>
      <c r="P10" s="136" t="s">
        <v>168</v>
      </c>
      <c r="Q10" s="136">
        <v>7422.762029999998</v>
      </c>
      <c r="R10" s="136">
        <v>105589.2</v>
      </c>
      <c r="S10" s="136">
        <v>31175.262609999998</v>
      </c>
      <c r="T10" s="136">
        <v>91251.92697000003</v>
      </c>
      <c r="U10" s="136">
        <v>11052.394589999996</v>
      </c>
      <c r="V10" s="136">
        <v>10982.357999999998</v>
      </c>
      <c r="W10" s="136">
        <v>29540.523000000001</v>
      </c>
      <c r="X10" s="136">
        <v>65197.339540000001</v>
      </c>
      <c r="Y10" s="136">
        <v>115010.61825</v>
      </c>
      <c r="Z10" s="136">
        <v>167833.95260000002</v>
      </c>
      <c r="AA10" s="136">
        <v>225045.46805999998</v>
      </c>
      <c r="AB10" s="136">
        <v>64426.891259999975</v>
      </c>
      <c r="AC10" s="136">
        <v>80173.150630000004</v>
      </c>
      <c r="AD10" s="136">
        <v>14668.366430000004</v>
      </c>
      <c r="AE10" s="164">
        <v>29029.163400000009</v>
      </c>
      <c r="AF10" s="156">
        <v>15553.65</v>
      </c>
    </row>
    <row r="11" spans="1:33" ht="17.25" customHeight="1" x14ac:dyDescent="0.25">
      <c r="A11" s="143" t="s">
        <v>200</v>
      </c>
      <c r="B11" s="142">
        <v>18739.525889999997</v>
      </c>
      <c r="C11" s="142">
        <v>4758.776179999998</v>
      </c>
      <c r="D11" s="142">
        <v>132842.60380000007</v>
      </c>
      <c r="E11" s="142">
        <v>6196.4934500000008</v>
      </c>
      <c r="F11" s="142">
        <v>389110.23547999997</v>
      </c>
      <c r="G11" s="142">
        <v>3765.2505000000001</v>
      </c>
      <c r="H11" s="142">
        <v>78113.903740000009</v>
      </c>
      <c r="I11" s="142">
        <v>10880.803329999999</v>
      </c>
      <c r="J11" s="142">
        <v>26156.191600000006</v>
      </c>
      <c r="K11" s="142">
        <v>7277.2872499999994</v>
      </c>
      <c r="L11" s="142">
        <v>12134.08174</v>
      </c>
      <c r="M11" s="142"/>
      <c r="N11" s="142">
        <v>18035.561999999998</v>
      </c>
      <c r="O11" s="142">
        <v>1982.4003000000002</v>
      </c>
      <c r="P11" s="142" t="s">
        <v>168</v>
      </c>
      <c r="Q11" s="142">
        <v>6491.7485399999996</v>
      </c>
      <c r="R11" s="142">
        <v>99849.2</v>
      </c>
      <c r="S11" s="142">
        <v>19322.540300000004</v>
      </c>
      <c r="T11" s="142">
        <v>99907.615660000025</v>
      </c>
      <c r="U11" s="142">
        <v>10710.410739999998</v>
      </c>
      <c r="V11" s="142">
        <v>18722.198500000002</v>
      </c>
      <c r="W11" s="142">
        <v>27453.462699999996</v>
      </c>
      <c r="X11" s="142">
        <v>49985.540459999997</v>
      </c>
      <c r="Y11" s="142">
        <v>115001.44620000001</v>
      </c>
      <c r="Z11" s="142">
        <v>158339.54346000002</v>
      </c>
      <c r="AA11" s="142">
        <v>249312.45309999998</v>
      </c>
      <c r="AB11" s="142">
        <v>21222.668189999997</v>
      </c>
      <c r="AC11" s="142">
        <v>117115.64810000003</v>
      </c>
      <c r="AD11" s="142">
        <v>9190.4459500000012</v>
      </c>
      <c r="AE11" s="166">
        <v>2668.0018299999997</v>
      </c>
      <c r="AF11" s="158">
        <v>5088.2334799999999</v>
      </c>
    </row>
    <row r="12" spans="1:33" ht="17.25" customHeight="1" x14ac:dyDescent="0.25">
      <c r="A12" s="141" t="s">
        <v>201</v>
      </c>
      <c r="B12" s="140">
        <v>50263.21125</v>
      </c>
      <c r="C12" s="140">
        <v>4426.0488800000003</v>
      </c>
      <c r="D12" s="139">
        <v>91905.955549999999</v>
      </c>
      <c r="E12" s="139">
        <v>2956.7157799999995</v>
      </c>
      <c r="F12" s="139">
        <v>200399.79680000001</v>
      </c>
      <c r="G12" s="139">
        <v>5834</v>
      </c>
      <c r="H12" s="139">
        <v>64721.724749999994</v>
      </c>
      <c r="I12" s="139">
        <v>7444.6752500000002</v>
      </c>
      <c r="J12" s="139">
        <v>133135.33420000001</v>
      </c>
      <c r="K12" s="139">
        <v>9760.2829500000007</v>
      </c>
      <c r="L12" s="139">
        <v>12426.91856</v>
      </c>
      <c r="M12" s="139">
        <v>2</v>
      </c>
      <c r="N12" s="139">
        <v>11077.2</v>
      </c>
      <c r="O12" s="139">
        <v>1043.442</v>
      </c>
      <c r="P12" s="139" t="s">
        <v>168</v>
      </c>
      <c r="Q12" s="139">
        <v>1735.1253999999994</v>
      </c>
      <c r="R12" s="139">
        <v>61859</v>
      </c>
      <c r="S12" s="139">
        <v>17821.434100000002</v>
      </c>
      <c r="T12" s="139">
        <v>88982.259500000015</v>
      </c>
      <c r="U12" s="139">
        <v>8094.4041000000007</v>
      </c>
      <c r="V12" s="139">
        <v>5839.1875</v>
      </c>
      <c r="W12" s="139">
        <v>19257.106</v>
      </c>
      <c r="X12" s="139">
        <v>36911.877</v>
      </c>
      <c r="Y12" s="139">
        <v>70838.727500000008</v>
      </c>
      <c r="Z12" s="139">
        <v>132802.77350000001</v>
      </c>
      <c r="AA12" s="139">
        <v>153391.04149999999</v>
      </c>
      <c r="AB12" s="139">
        <v>17710.076060000007</v>
      </c>
      <c r="AC12" s="139">
        <v>82644.856200000009</v>
      </c>
      <c r="AD12" s="139">
        <v>8241.5773000000008</v>
      </c>
      <c r="AE12" s="165">
        <v>5730.4439999999995</v>
      </c>
      <c r="AF12" s="157">
        <v>1673.35</v>
      </c>
    </row>
    <row r="13" spans="1:33" ht="17.25" customHeight="1" thickBot="1" x14ac:dyDescent="0.3">
      <c r="A13" s="130" t="s">
        <v>202</v>
      </c>
      <c r="B13" s="136">
        <v>65364.657720000003</v>
      </c>
      <c r="C13" s="138">
        <v>2842.6634800000002</v>
      </c>
      <c r="D13" s="138">
        <v>44856.910199999998</v>
      </c>
      <c r="E13" s="136">
        <v>5108.0395899999994</v>
      </c>
      <c r="F13" s="136">
        <v>77163.492800000007</v>
      </c>
      <c r="G13" s="136">
        <v>2093</v>
      </c>
      <c r="H13" s="136">
        <v>36610.231650000009</v>
      </c>
      <c r="I13" s="136">
        <v>8453.354470000002</v>
      </c>
      <c r="J13" s="137">
        <v>137300.11319999999</v>
      </c>
      <c r="K13" s="136">
        <v>2366.9441900000002</v>
      </c>
      <c r="L13" s="136">
        <v>14809.644200000004</v>
      </c>
      <c r="M13" s="136">
        <v>371</v>
      </c>
      <c r="N13" s="136">
        <v>5095.7212</v>
      </c>
      <c r="O13" s="136">
        <v>704.47070000000008</v>
      </c>
      <c r="P13" s="136" t="s">
        <v>168</v>
      </c>
      <c r="Q13" s="136">
        <v>650.84100999999998</v>
      </c>
      <c r="R13" s="136">
        <v>21806</v>
      </c>
      <c r="S13" s="136">
        <v>27866.383299999998</v>
      </c>
      <c r="T13" s="136">
        <v>41719.297899999998</v>
      </c>
      <c r="U13" s="136">
        <v>5378.5463300000001</v>
      </c>
      <c r="V13" s="136">
        <v>8833.7210099999993</v>
      </c>
      <c r="W13" s="136">
        <v>11413.920000000002</v>
      </c>
      <c r="X13" s="136">
        <v>39541.1</v>
      </c>
      <c r="Y13" s="136">
        <v>20112.461660000001</v>
      </c>
      <c r="Z13" s="136">
        <v>50598.033589999999</v>
      </c>
      <c r="AA13" s="136">
        <v>38425.386500000001</v>
      </c>
      <c r="AB13" s="136">
        <v>18537.960129999999</v>
      </c>
      <c r="AC13" s="136">
        <v>17889.024799999999</v>
      </c>
      <c r="AD13" s="136">
        <v>499.79946999999993</v>
      </c>
      <c r="AE13" s="164">
        <v>7313.0559099999991</v>
      </c>
      <c r="AF13" s="156">
        <v>2147.4780000000001</v>
      </c>
    </row>
    <row r="14" spans="1:33" ht="17.25" customHeight="1" thickBot="1" x14ac:dyDescent="0.3">
      <c r="A14" s="135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5"/>
      <c r="AF14" s="163"/>
    </row>
    <row r="15" spans="1:33" ht="17.25" customHeight="1" x14ac:dyDescent="0.25">
      <c r="A15" s="133" t="s">
        <v>203</v>
      </c>
      <c r="B15" s="91">
        <f t="shared" ref="B15:O15" si="0">SUM(B2:B4)</f>
        <v>33968.14415</v>
      </c>
      <c r="C15" s="91">
        <f t="shared" si="0"/>
        <v>6866.4387399999996</v>
      </c>
      <c r="D15" s="91">
        <f t="shared" si="0"/>
        <v>95882.827610000008</v>
      </c>
      <c r="E15" s="91">
        <f t="shared" si="0"/>
        <v>2936.3050800000001</v>
      </c>
      <c r="F15" s="91">
        <f t="shared" si="0"/>
        <v>170820.19192999997</v>
      </c>
      <c r="G15" s="91">
        <f t="shared" si="0"/>
        <v>9332.2131499999996</v>
      </c>
      <c r="H15" s="91">
        <f t="shared" si="0"/>
        <v>108241.41271999996</v>
      </c>
      <c r="I15" s="91">
        <f t="shared" si="0"/>
        <v>11294.514810000001</v>
      </c>
      <c r="J15" s="91">
        <f t="shared" si="0"/>
        <v>171980.03750000001</v>
      </c>
      <c r="K15" s="91">
        <f t="shared" si="0"/>
        <v>15053.529070000001</v>
      </c>
      <c r="L15" s="91">
        <f t="shared" si="0"/>
        <v>21784.08354</v>
      </c>
      <c r="M15" s="91">
        <f t="shared" si="0"/>
        <v>620.77275000000009</v>
      </c>
      <c r="N15" s="91">
        <f t="shared" si="0"/>
        <v>30324.205469999997</v>
      </c>
      <c r="O15" s="91">
        <f t="shared" si="0"/>
        <v>874.21199999999999</v>
      </c>
      <c r="P15" s="124" t="s">
        <v>168</v>
      </c>
      <c r="Q15" s="91">
        <f t="shared" ref="Q15:AD15" si="1">SUM(Q2:Q4)</f>
        <v>3104.5859800000003</v>
      </c>
      <c r="R15" s="91">
        <f t="shared" si="1"/>
        <v>33866</v>
      </c>
      <c r="S15" s="91">
        <f t="shared" si="1"/>
        <v>26434.535510000002</v>
      </c>
      <c r="T15" s="91">
        <f t="shared" si="1"/>
        <v>144092.93885999999</v>
      </c>
      <c r="U15" s="91">
        <f t="shared" si="1"/>
        <v>13693.371859999999</v>
      </c>
      <c r="V15" s="91">
        <f t="shared" si="1"/>
        <v>14256.43665</v>
      </c>
      <c r="W15" s="91">
        <f t="shared" si="1"/>
        <v>34666.822699999997</v>
      </c>
      <c r="X15" s="91">
        <f t="shared" si="1"/>
        <v>42954.139649999997</v>
      </c>
      <c r="Y15" s="91">
        <f t="shared" si="1"/>
        <v>19461.854749999999</v>
      </c>
      <c r="Z15" s="91">
        <f t="shared" si="1"/>
        <v>53227.97193</v>
      </c>
      <c r="AA15" s="91">
        <f t="shared" si="1"/>
        <v>112916.75090999999</v>
      </c>
      <c r="AB15" s="91">
        <f t="shared" si="1"/>
        <v>611.5300699999998</v>
      </c>
      <c r="AC15" s="91">
        <f t="shared" si="1"/>
        <v>150832.66673000003</v>
      </c>
      <c r="AD15" s="91">
        <f t="shared" si="1"/>
        <v>-12895.008949999999</v>
      </c>
      <c r="AE15" s="91">
        <f>(SUM(AE2:AE4))</f>
        <v>937.64864</v>
      </c>
      <c r="AF15" s="162">
        <f>(SUM(AF2:AF4))</f>
        <v>0</v>
      </c>
      <c r="AG15" s="155"/>
    </row>
    <row r="16" spans="1:33" ht="17.25" customHeight="1" x14ac:dyDescent="0.25">
      <c r="A16" s="132" t="s">
        <v>204</v>
      </c>
      <c r="B16" s="111">
        <f t="shared" ref="B16:O16" si="2">SUM(B5:B7)</f>
        <v>94955.059360000014</v>
      </c>
      <c r="C16" s="111">
        <f t="shared" si="2"/>
        <v>6584.5299399999994</v>
      </c>
      <c r="D16" s="111">
        <f t="shared" si="2"/>
        <v>0.70950000000000002</v>
      </c>
      <c r="E16" s="111">
        <f t="shared" si="2"/>
        <v>9687.2833100000007</v>
      </c>
      <c r="F16" s="111">
        <f t="shared" si="2"/>
        <v>1423445.5226199999</v>
      </c>
      <c r="G16" s="91">
        <f t="shared" si="2"/>
        <v>10204.807999999999</v>
      </c>
      <c r="H16" s="111">
        <f t="shared" si="2"/>
        <v>114199.94717999999</v>
      </c>
      <c r="I16" s="91">
        <f t="shared" si="2"/>
        <v>6353.3169500000004</v>
      </c>
      <c r="J16" s="91">
        <f t="shared" si="2"/>
        <v>100557.70667999999</v>
      </c>
      <c r="K16" s="91">
        <f t="shared" si="2"/>
        <v>17476.848389999999</v>
      </c>
      <c r="L16" s="91">
        <f t="shared" si="2"/>
        <v>6738.1707499999993</v>
      </c>
      <c r="M16" s="91">
        <f t="shared" si="2"/>
        <v>1006.2329</v>
      </c>
      <c r="N16" s="91">
        <f t="shared" si="2"/>
        <v>47185.279920000001</v>
      </c>
      <c r="O16" s="91">
        <f t="shared" si="2"/>
        <v>2307.1931</v>
      </c>
      <c r="P16" s="124" t="s">
        <v>168</v>
      </c>
      <c r="Q16" s="91">
        <f t="shared" ref="Q16:AD16" si="3">SUM(Q5:Q7)</f>
        <v>8693.86312</v>
      </c>
      <c r="R16" s="91">
        <f t="shared" si="3"/>
        <v>390368.1</v>
      </c>
      <c r="S16" s="91">
        <f t="shared" si="3"/>
        <v>15913.410309999999</v>
      </c>
      <c r="T16" s="91">
        <f t="shared" si="3"/>
        <v>76084.521560000008</v>
      </c>
      <c r="U16" s="91">
        <f t="shared" si="3"/>
        <v>11527.140350000001</v>
      </c>
      <c r="V16" s="91">
        <f t="shared" si="3"/>
        <v>14009.558169999997</v>
      </c>
      <c r="W16" s="91">
        <f t="shared" si="3"/>
        <v>125977.4039</v>
      </c>
      <c r="X16" s="91">
        <f t="shared" si="3"/>
        <v>264163.67056</v>
      </c>
      <c r="Y16" s="91">
        <f t="shared" si="3"/>
        <v>361690.27982</v>
      </c>
      <c r="Z16" s="91">
        <f t="shared" si="3"/>
        <v>698425.42304000002</v>
      </c>
      <c r="AA16" s="91">
        <f t="shared" si="3"/>
        <v>442042.82185999997</v>
      </c>
      <c r="AB16" s="91">
        <f t="shared" si="3"/>
        <v>0</v>
      </c>
      <c r="AC16" s="91">
        <f t="shared" si="3"/>
        <v>75071.052259999997</v>
      </c>
      <c r="AD16" s="91">
        <f t="shared" si="3"/>
        <v>2028.9780600000004</v>
      </c>
      <c r="AE16" s="111">
        <f>(SUM(AE5:AE7))</f>
        <v>1370.64597</v>
      </c>
      <c r="AF16" s="161">
        <f>(SUM(AF5:AF7))</f>
        <v>374.90836000000002</v>
      </c>
      <c r="AG16" s="155"/>
    </row>
    <row r="17" spans="1:33" ht="17.25" customHeight="1" x14ac:dyDescent="0.25">
      <c r="A17" s="131" t="s">
        <v>205</v>
      </c>
      <c r="B17" s="111">
        <f t="shared" ref="B17:O17" si="4">SUM(B8:B10)</f>
        <v>402920.44079999998</v>
      </c>
      <c r="C17" s="111">
        <f t="shared" si="4"/>
        <v>71756.913840000008</v>
      </c>
      <c r="D17" s="111">
        <f t="shared" si="4"/>
        <v>35752.385130000002</v>
      </c>
      <c r="E17" s="111">
        <f t="shared" si="4"/>
        <v>26379.089409999997</v>
      </c>
      <c r="F17" s="111">
        <f t="shared" si="4"/>
        <v>1362657.61216</v>
      </c>
      <c r="G17" s="91">
        <f t="shared" si="4"/>
        <v>36067.840149999996</v>
      </c>
      <c r="H17" s="111">
        <f t="shared" si="4"/>
        <v>205751.58062999998</v>
      </c>
      <c r="I17" s="91">
        <f t="shared" si="4"/>
        <v>55585.471420000002</v>
      </c>
      <c r="J17" s="91">
        <f t="shared" si="4"/>
        <v>181895.75699999998</v>
      </c>
      <c r="K17" s="91">
        <f t="shared" si="4"/>
        <v>24337.011350000001</v>
      </c>
      <c r="L17" s="91">
        <f t="shared" si="4"/>
        <v>71642.01324</v>
      </c>
      <c r="M17" s="91">
        <f t="shared" si="4"/>
        <v>190.02380000000002</v>
      </c>
      <c r="N17" s="91">
        <f t="shared" si="4"/>
        <v>23918.029199999997</v>
      </c>
      <c r="O17" s="91">
        <f t="shared" si="4"/>
        <v>8352.6777500000007</v>
      </c>
      <c r="P17" s="124" t="s">
        <v>168</v>
      </c>
      <c r="Q17" s="91">
        <f t="shared" ref="Q17:AD17" si="5">SUM(Q8:Q10)</f>
        <v>17378.517529999997</v>
      </c>
      <c r="R17" s="91">
        <f t="shared" si="5"/>
        <v>371535.2</v>
      </c>
      <c r="S17" s="91">
        <f t="shared" si="5"/>
        <v>73128.661569999997</v>
      </c>
      <c r="T17" s="91">
        <f t="shared" si="5"/>
        <v>162838.52379000004</v>
      </c>
      <c r="U17" s="91">
        <f t="shared" si="5"/>
        <v>32683.332079999996</v>
      </c>
      <c r="V17" s="91">
        <f t="shared" si="5"/>
        <v>25237.494349999997</v>
      </c>
      <c r="W17" s="91">
        <f t="shared" si="5"/>
        <v>108793.2258</v>
      </c>
      <c r="X17" s="91">
        <f t="shared" si="5"/>
        <v>262331.08773999999</v>
      </c>
      <c r="Y17" s="91">
        <f t="shared" si="5"/>
        <v>369965.11285000003</v>
      </c>
      <c r="Z17" s="91">
        <f t="shared" si="5"/>
        <v>624451.86177000008</v>
      </c>
      <c r="AA17" s="91">
        <f t="shared" si="5"/>
        <v>524998.89112000004</v>
      </c>
      <c r="AB17" s="91">
        <f t="shared" si="5"/>
        <v>75209.776649999971</v>
      </c>
      <c r="AC17" s="91">
        <f t="shared" si="5"/>
        <v>142973.18671000001</v>
      </c>
      <c r="AD17" s="91">
        <f t="shared" si="5"/>
        <v>32975.976990000003</v>
      </c>
      <c r="AE17" s="111">
        <f>(SUM(AE8:AE10))</f>
        <v>47956.387520000004</v>
      </c>
      <c r="AF17" s="161">
        <f>(SUM(AF8:AF10))</f>
        <v>26680.25</v>
      </c>
      <c r="AG17" s="155"/>
    </row>
    <row r="18" spans="1:33" s="126" customFormat="1" ht="17.25" customHeight="1" thickBot="1" x14ac:dyDescent="0.3">
      <c r="A18" s="130" t="s">
        <v>206</v>
      </c>
      <c r="B18" s="129">
        <f>SUM(B11:B13)</f>
        <v>134367.39486</v>
      </c>
      <c r="C18" s="129">
        <f>SUM(C11:C13)</f>
        <v>12027.488539999998</v>
      </c>
      <c r="D18" s="129">
        <f>SUM(D11:D13)</f>
        <v>269605.46955000004</v>
      </c>
      <c r="E18" s="129">
        <f>SUM(E11:E13)</f>
        <v>14261.248820000001</v>
      </c>
      <c r="F18" s="129">
        <f>SUM(F11:F12)</f>
        <v>589510.03227999993</v>
      </c>
      <c r="G18" s="127">
        <f>SUM(G11:G12)</f>
        <v>9599.2505000000001</v>
      </c>
      <c r="H18" s="129">
        <f t="shared" ref="H18:O18" si="6">SUM(H11:H13)</f>
        <v>179445.86014</v>
      </c>
      <c r="I18" s="127">
        <f t="shared" si="6"/>
        <v>26778.833050000001</v>
      </c>
      <c r="J18" s="127">
        <f t="shared" si="6"/>
        <v>296591.63899999997</v>
      </c>
      <c r="K18" s="127">
        <f t="shared" si="6"/>
        <v>19404.514390000004</v>
      </c>
      <c r="L18" s="127">
        <f t="shared" si="6"/>
        <v>39370.644500000002</v>
      </c>
      <c r="M18" s="127">
        <f t="shared" si="6"/>
        <v>373</v>
      </c>
      <c r="N18" s="127">
        <f t="shared" si="6"/>
        <v>34208.483200000002</v>
      </c>
      <c r="O18" s="127">
        <f t="shared" si="6"/>
        <v>3730.3130000000001</v>
      </c>
      <c r="P18" s="128" t="s">
        <v>168</v>
      </c>
      <c r="Q18" s="127">
        <f t="shared" ref="Q18:AD18" si="7">SUM(Q11:Q13)</f>
        <v>8877.7149499999996</v>
      </c>
      <c r="R18" s="127">
        <f t="shared" si="7"/>
        <v>183514.2</v>
      </c>
      <c r="S18" s="127">
        <f t="shared" si="7"/>
        <v>65010.357700000008</v>
      </c>
      <c r="T18" s="127">
        <f t="shared" si="7"/>
        <v>230609.17306000006</v>
      </c>
      <c r="U18" s="127">
        <f t="shared" si="7"/>
        <v>24183.36117</v>
      </c>
      <c r="V18" s="127">
        <f t="shared" si="7"/>
        <v>33395.10701</v>
      </c>
      <c r="W18" s="127">
        <f t="shared" si="7"/>
        <v>58124.488700000002</v>
      </c>
      <c r="X18" s="127">
        <f t="shared" si="7"/>
        <v>126438.51746</v>
      </c>
      <c r="Y18" s="127">
        <f t="shared" si="7"/>
        <v>205952.63536000001</v>
      </c>
      <c r="Z18" s="127">
        <f t="shared" si="7"/>
        <v>341740.35055000003</v>
      </c>
      <c r="AA18" s="127">
        <f t="shared" si="7"/>
        <v>441128.8811</v>
      </c>
      <c r="AB18" s="127">
        <f t="shared" si="7"/>
        <v>57470.704380000003</v>
      </c>
      <c r="AC18" s="127">
        <f t="shared" si="7"/>
        <v>217649.52910000004</v>
      </c>
      <c r="AD18" s="127">
        <f t="shared" si="7"/>
        <v>17931.822720000004</v>
      </c>
      <c r="AE18" s="108">
        <f>(SUM(AE11:AE13))</f>
        <v>15711.501739999998</v>
      </c>
      <c r="AF18" s="160">
        <f>(SUM(AF11:AF13))</f>
        <v>8909.0614800000003</v>
      </c>
      <c r="AG18" s="155"/>
    </row>
    <row r="19" spans="1:33" s="106" customFormat="1" ht="17.25" customHeight="1" x14ac:dyDescent="0.25">
      <c r="A19" s="125">
        <v>41468</v>
      </c>
      <c r="B19" s="91">
        <v>4104</v>
      </c>
      <c r="C19" s="91">
        <v>1741</v>
      </c>
      <c r="D19" s="91">
        <v>-46106</v>
      </c>
      <c r="E19" s="91">
        <v>2846</v>
      </c>
      <c r="F19" s="91">
        <v>18527</v>
      </c>
      <c r="G19" s="91">
        <v>9693</v>
      </c>
      <c r="H19" s="91">
        <v>88526</v>
      </c>
      <c r="I19" s="91">
        <v>6805.1</v>
      </c>
      <c r="J19" s="91">
        <v>10208</v>
      </c>
      <c r="K19" s="91">
        <v>21153</v>
      </c>
      <c r="L19" s="91">
        <v>42186</v>
      </c>
      <c r="M19" s="91">
        <v>26828</v>
      </c>
      <c r="N19" s="91">
        <v>0</v>
      </c>
      <c r="O19" s="91">
        <v>775</v>
      </c>
      <c r="P19" s="124" t="s">
        <v>168</v>
      </c>
      <c r="Q19" s="91">
        <v>6481</v>
      </c>
      <c r="R19" s="91">
        <v>13224</v>
      </c>
      <c r="S19" s="91">
        <v>19366.099999999999</v>
      </c>
      <c r="T19" s="91">
        <v>26788</v>
      </c>
      <c r="U19" s="91">
        <v>20020</v>
      </c>
      <c r="V19" s="91">
        <v>17314</v>
      </c>
      <c r="W19" s="91">
        <v>1549</v>
      </c>
      <c r="X19" s="91">
        <v>53517.5</v>
      </c>
      <c r="Y19" s="91">
        <v>9950</v>
      </c>
      <c r="Z19" s="91">
        <v>157</v>
      </c>
      <c r="AA19" s="91">
        <v>37593</v>
      </c>
      <c r="AB19" s="91">
        <v>14146</v>
      </c>
      <c r="AC19" s="91">
        <v>43798</v>
      </c>
      <c r="AD19" s="91">
        <v>3386</v>
      </c>
      <c r="AE19" s="91">
        <v>547</v>
      </c>
      <c r="AF19" s="158">
        <v>0</v>
      </c>
      <c r="AG19" s="155"/>
    </row>
    <row r="20" spans="1:33" ht="17.25" customHeight="1" x14ac:dyDescent="0.25">
      <c r="A20" s="123">
        <v>41499</v>
      </c>
      <c r="B20" s="111">
        <v>8462</v>
      </c>
      <c r="C20" s="111">
        <v>1225</v>
      </c>
      <c r="D20" s="111">
        <v>-7154</v>
      </c>
      <c r="E20" s="111">
        <v>1067</v>
      </c>
      <c r="F20" s="111">
        <v>54107</v>
      </c>
      <c r="G20" s="111">
        <v>9010</v>
      </c>
      <c r="H20" s="111">
        <v>52356</v>
      </c>
      <c r="I20" s="111">
        <v>6759.8</v>
      </c>
      <c r="J20" s="111">
        <v>2753</v>
      </c>
      <c r="K20" s="111">
        <v>5978</v>
      </c>
      <c r="L20" s="111">
        <v>48939</v>
      </c>
      <c r="M20" s="111">
        <v>173074</v>
      </c>
      <c r="N20" s="111">
        <v>6232.2</v>
      </c>
      <c r="O20" s="111">
        <v>511</v>
      </c>
      <c r="P20" s="112" t="s">
        <v>168</v>
      </c>
      <c r="Q20" s="111">
        <v>1767</v>
      </c>
      <c r="R20" s="111">
        <v>16840</v>
      </c>
      <c r="S20" s="111">
        <v>13108.7</v>
      </c>
      <c r="T20" s="111">
        <v>41745</v>
      </c>
      <c r="U20" s="111">
        <v>19573</v>
      </c>
      <c r="V20" s="111">
        <v>8019</v>
      </c>
      <c r="W20" s="111">
        <v>8820</v>
      </c>
      <c r="X20" s="111">
        <v>163243.29999999999</v>
      </c>
      <c r="Y20" s="111">
        <v>15558</v>
      </c>
      <c r="Z20" s="111">
        <v>35774</v>
      </c>
      <c r="AA20" s="111">
        <v>41107</v>
      </c>
      <c r="AB20" s="111">
        <v>5424</v>
      </c>
      <c r="AC20" s="111">
        <v>35629</v>
      </c>
      <c r="AD20" s="111">
        <v>3281</v>
      </c>
      <c r="AE20" s="111">
        <v>495</v>
      </c>
      <c r="AF20" s="157">
        <v>31</v>
      </c>
      <c r="AG20" s="155"/>
    </row>
    <row r="21" spans="1:33" ht="17.25" customHeight="1" thickBot="1" x14ac:dyDescent="0.3">
      <c r="A21" s="122">
        <v>41530</v>
      </c>
      <c r="B21" s="108">
        <v>12324</v>
      </c>
      <c r="C21" s="108">
        <v>1058</v>
      </c>
      <c r="D21" s="108">
        <v>-21</v>
      </c>
      <c r="E21" s="108">
        <v>1716</v>
      </c>
      <c r="F21" s="108">
        <v>76660</v>
      </c>
      <c r="G21" s="108">
        <v>10517</v>
      </c>
      <c r="H21" s="108">
        <v>34856.6</v>
      </c>
      <c r="I21" s="108">
        <v>2520.6</v>
      </c>
      <c r="J21" s="108">
        <v>9039</v>
      </c>
      <c r="K21" s="108">
        <v>5956</v>
      </c>
      <c r="L21" s="108">
        <v>22704</v>
      </c>
      <c r="M21" s="108">
        <v>44682</v>
      </c>
      <c r="N21" s="108">
        <v>5682.6</v>
      </c>
      <c r="O21" s="108">
        <v>359</v>
      </c>
      <c r="P21" s="109" t="s">
        <v>168</v>
      </c>
      <c r="Q21" s="108">
        <v>2894</v>
      </c>
      <c r="R21" s="108">
        <v>40108</v>
      </c>
      <c r="S21" s="108">
        <v>4722.3999999999996</v>
      </c>
      <c r="T21" s="108">
        <v>4011.4</v>
      </c>
      <c r="U21" s="108">
        <v>12131</v>
      </c>
      <c r="V21" s="108">
        <v>4611.2</v>
      </c>
      <c r="W21" s="108">
        <v>13749</v>
      </c>
      <c r="X21" s="108">
        <v>79144</v>
      </c>
      <c r="Y21" s="108">
        <v>47207</v>
      </c>
      <c r="Z21" s="108">
        <v>50532</v>
      </c>
      <c r="AA21" s="108">
        <v>87444</v>
      </c>
      <c r="AB21" s="108">
        <v>666</v>
      </c>
      <c r="AC21" s="108">
        <v>4643</v>
      </c>
      <c r="AD21" s="108">
        <v>4488</v>
      </c>
      <c r="AE21" s="108">
        <v>1321.4</v>
      </c>
      <c r="AF21" s="156">
        <v>119</v>
      </c>
      <c r="AG21" s="155"/>
    </row>
    <row r="22" spans="1:33" ht="17.25" customHeight="1" x14ac:dyDescent="0.25">
      <c r="A22" s="121">
        <v>41560</v>
      </c>
      <c r="B22" s="114">
        <v>4266.9440000000004</v>
      </c>
      <c r="C22" s="114">
        <v>414.62799999999999</v>
      </c>
      <c r="D22" s="114">
        <v>-60</v>
      </c>
      <c r="E22" s="114">
        <v>6867.1134299999994</v>
      </c>
      <c r="F22" s="114">
        <v>564655.15993999992</v>
      </c>
      <c r="G22" s="114">
        <v>15356.268000000002</v>
      </c>
      <c r="H22" s="114">
        <v>70175.240139999994</v>
      </c>
      <c r="I22" s="114">
        <v>4112.0495000000001</v>
      </c>
      <c r="J22" s="114">
        <v>10720.586139999999</v>
      </c>
      <c r="K22" s="114">
        <v>10746.100850000001</v>
      </c>
      <c r="L22" s="114">
        <v>31243.343000000001</v>
      </c>
      <c r="M22" s="114">
        <v>94386.027019999994</v>
      </c>
      <c r="N22" s="114">
        <v>14436.865599999999</v>
      </c>
      <c r="O22" s="114">
        <v>844.98</v>
      </c>
      <c r="P22" s="115" t="s">
        <v>168</v>
      </c>
      <c r="Q22" s="114">
        <v>5083.0624000000007</v>
      </c>
      <c r="R22" s="114">
        <v>155559</v>
      </c>
      <c r="S22" s="114">
        <v>14023.18</v>
      </c>
      <c r="T22" s="114">
        <v>31475.721540000002</v>
      </c>
      <c r="U22" s="114">
        <v>17838.136000000002</v>
      </c>
      <c r="V22" s="114">
        <v>6919.0343999999996</v>
      </c>
      <c r="W22" s="114">
        <v>90194.108399999997</v>
      </c>
      <c r="X22" s="114">
        <v>225649.47242000001</v>
      </c>
      <c r="Y22" s="114">
        <v>199211</v>
      </c>
      <c r="Z22" s="114">
        <v>211755.86074999999</v>
      </c>
      <c r="AA22" s="114">
        <v>392396.68644000002</v>
      </c>
      <c r="AB22" s="114">
        <v>6466.8417600000002</v>
      </c>
      <c r="AC22" s="114">
        <v>44911.920100000003</v>
      </c>
      <c r="AD22" s="114">
        <v>4545.9084000000003</v>
      </c>
      <c r="AE22" s="91">
        <v>550.96439999999996</v>
      </c>
      <c r="AF22" s="158">
        <v>31</v>
      </c>
      <c r="AG22" s="155"/>
    </row>
    <row r="23" spans="1:33" ht="17.25" customHeight="1" x14ac:dyDescent="0.25">
      <c r="A23" s="120">
        <v>41591</v>
      </c>
      <c r="B23" s="111">
        <v>1645.2972</v>
      </c>
      <c r="C23" s="111">
        <v>249.77500000000001</v>
      </c>
      <c r="D23" s="111">
        <v>-20</v>
      </c>
      <c r="E23" s="111">
        <v>5187.9486099999995</v>
      </c>
      <c r="F23" s="111">
        <v>780940.3314599999</v>
      </c>
      <c r="G23" s="111">
        <v>8867.7059500000014</v>
      </c>
      <c r="H23" s="111">
        <v>38209.317399999993</v>
      </c>
      <c r="I23" s="111">
        <v>8621.4441000000024</v>
      </c>
      <c r="J23" s="111">
        <v>1152.4742000000001</v>
      </c>
      <c r="K23" s="111">
        <v>5379.2844999999998</v>
      </c>
      <c r="L23" s="111">
        <v>12311.729199999998</v>
      </c>
      <c r="M23" s="111">
        <v>37263.179999999993</v>
      </c>
      <c r="N23" s="111">
        <v>13833.635999999999</v>
      </c>
      <c r="O23" s="111">
        <v>739.35874999999999</v>
      </c>
      <c r="P23" s="112" t="s">
        <v>168</v>
      </c>
      <c r="Q23" s="111">
        <v>2148.5151499999997</v>
      </c>
      <c r="R23" s="111">
        <v>194801</v>
      </c>
      <c r="S23" s="111">
        <v>5567.7334000000001</v>
      </c>
      <c r="T23" s="111">
        <v>16947.412799999998</v>
      </c>
      <c r="U23" s="111">
        <v>4098.7575999999999</v>
      </c>
      <c r="V23" s="111">
        <v>8268.3322000000007</v>
      </c>
      <c r="W23" s="111">
        <v>90746.534500000009</v>
      </c>
      <c r="X23" s="111">
        <v>159391.35570000001</v>
      </c>
      <c r="Y23" s="111">
        <v>244445.9192</v>
      </c>
      <c r="Z23" s="111">
        <v>269839.69469999999</v>
      </c>
      <c r="AA23" s="111">
        <v>393754</v>
      </c>
      <c r="AB23" s="111">
        <v>5446.9238499999992</v>
      </c>
      <c r="AC23" s="111">
        <v>8292.4717999999993</v>
      </c>
      <c r="AD23" s="111">
        <v>2139.2683499999998</v>
      </c>
      <c r="AE23" s="111">
        <v>598.31769999999995</v>
      </c>
      <c r="AF23" s="157">
        <v>109.18</v>
      </c>
      <c r="AG23" s="155"/>
    </row>
    <row r="24" spans="1:33" ht="17.25" customHeight="1" thickBot="1" x14ac:dyDescent="0.3">
      <c r="A24" s="119">
        <v>41621</v>
      </c>
      <c r="B24" s="108">
        <v>7998.8587500000003</v>
      </c>
      <c r="C24" s="108">
        <v>37.36</v>
      </c>
      <c r="D24" s="108">
        <v>-3211.7959999999998</v>
      </c>
      <c r="E24" s="108">
        <v>4677.8315000000002</v>
      </c>
      <c r="F24" s="108">
        <v>851250.03890000016</v>
      </c>
      <c r="G24" s="108">
        <v>14431.522200000003</v>
      </c>
      <c r="H24" s="108">
        <v>43870.201400000005</v>
      </c>
      <c r="I24" s="108">
        <v>4110.4960000000001</v>
      </c>
      <c r="J24" s="108">
        <v>6100</v>
      </c>
      <c r="K24" s="108">
        <v>12426.399799999996</v>
      </c>
      <c r="L24" s="108">
        <v>52574.268030000007</v>
      </c>
      <c r="M24" s="108">
        <v>106392.48</v>
      </c>
      <c r="N24" s="108">
        <v>14713.596000000001</v>
      </c>
      <c r="O24" s="108">
        <v>2957.3550000000005</v>
      </c>
      <c r="P24" s="109" t="s">
        <v>168</v>
      </c>
      <c r="Q24" s="108">
        <v>6727.4051999999992</v>
      </c>
      <c r="R24" s="108">
        <v>200674.6312</v>
      </c>
      <c r="S24" s="108">
        <v>11547.689999999999</v>
      </c>
      <c r="T24" s="108">
        <v>17397</v>
      </c>
      <c r="U24" s="108">
        <v>5569.5830999999989</v>
      </c>
      <c r="V24" s="108">
        <v>6975.8341999999993</v>
      </c>
      <c r="W24" s="108">
        <v>85441.766599999988</v>
      </c>
      <c r="X24" s="108">
        <v>170246.44255000001</v>
      </c>
      <c r="Y24" s="108">
        <v>213673.0747</v>
      </c>
      <c r="Z24" s="108">
        <v>215438.87299999999</v>
      </c>
      <c r="AA24" s="108">
        <v>294890.30394000001</v>
      </c>
      <c r="AB24" s="108">
        <v>3152.7746999999999</v>
      </c>
      <c r="AC24" s="108">
        <v>3800</v>
      </c>
      <c r="AD24" s="108">
        <v>4053.8231999999994</v>
      </c>
      <c r="AE24" s="108">
        <v>436.70715000000001</v>
      </c>
      <c r="AF24" s="156">
        <v>50.65</v>
      </c>
      <c r="AG24" s="155"/>
    </row>
    <row r="25" spans="1:33" ht="17.25" customHeight="1" x14ac:dyDescent="0.25">
      <c r="A25" s="118">
        <v>41653</v>
      </c>
      <c r="B25" s="114">
        <v>11122.18</v>
      </c>
      <c r="C25" s="114">
        <v>16730.427250000001</v>
      </c>
      <c r="D25" s="114">
        <v>3.6844000000000001</v>
      </c>
      <c r="E25" s="114">
        <v>8864.9188999999988</v>
      </c>
      <c r="F25" s="114">
        <v>719713.34447999997</v>
      </c>
      <c r="G25" s="114">
        <v>7990.494999999999</v>
      </c>
      <c r="H25" s="114">
        <v>68949.43140999999</v>
      </c>
      <c r="I25" s="114">
        <v>7597.7216000000008</v>
      </c>
      <c r="J25" s="114">
        <v>14685.025010000001</v>
      </c>
      <c r="K25" s="114">
        <v>10311.277700000001</v>
      </c>
      <c r="L25" s="114">
        <v>46864.560700000002</v>
      </c>
      <c r="M25" s="114">
        <v>81441.628800000006</v>
      </c>
      <c r="N25" s="114">
        <v>4956.2963999999993</v>
      </c>
      <c r="O25" s="114">
        <v>3934.3130000000001</v>
      </c>
      <c r="P25" s="115" t="s">
        <v>168</v>
      </c>
      <c r="Q25" s="114">
        <v>9764.7391000000007</v>
      </c>
      <c r="R25" s="114">
        <v>158161</v>
      </c>
      <c r="S25" s="114">
        <v>19584.151400000002</v>
      </c>
      <c r="T25" s="114">
        <v>24871.95191</v>
      </c>
      <c r="U25" s="114">
        <v>19339.222549999999</v>
      </c>
      <c r="V25" s="114">
        <v>11324.35</v>
      </c>
      <c r="W25" s="114">
        <v>153130.92029999997</v>
      </c>
      <c r="X25" s="114">
        <v>238923.70079999999</v>
      </c>
      <c r="Y25" s="114">
        <v>189651.9914</v>
      </c>
      <c r="Z25" s="114">
        <v>260118.32459999999</v>
      </c>
      <c r="AA25" s="114">
        <v>219008.30394000001</v>
      </c>
      <c r="AB25" s="114">
        <v>11414.670799999998</v>
      </c>
      <c r="AC25" s="114">
        <v>8996.6254500000014</v>
      </c>
      <c r="AD25" s="114">
        <v>8488.0069000000021</v>
      </c>
      <c r="AE25" s="91">
        <v>1423.3697999999999</v>
      </c>
      <c r="AF25" s="158">
        <v>375.87</v>
      </c>
      <c r="AG25" s="155"/>
    </row>
    <row r="26" spans="1:33" ht="17.25" customHeight="1" x14ac:dyDescent="0.25">
      <c r="A26" s="117">
        <v>41684</v>
      </c>
      <c r="B26" s="111">
        <v>5730.8015999999998</v>
      </c>
      <c r="C26" s="111">
        <v>24330.2837</v>
      </c>
      <c r="D26" s="111">
        <v>1627.296</v>
      </c>
      <c r="E26" s="111">
        <v>15122.849799999998</v>
      </c>
      <c r="F26" s="111">
        <v>736100.1667200001</v>
      </c>
      <c r="G26" s="111">
        <v>20080.601200000001</v>
      </c>
      <c r="H26" s="111">
        <v>97122.573339999988</v>
      </c>
      <c r="I26" s="111">
        <v>8401.032250000002</v>
      </c>
      <c r="J26" s="111">
        <v>7397.4956400000001</v>
      </c>
      <c r="K26" s="111">
        <v>13285.3976</v>
      </c>
      <c r="L26" s="111">
        <v>8256.7885000000006</v>
      </c>
      <c r="M26" s="111">
        <v>34316.494399999996</v>
      </c>
      <c r="N26" s="111">
        <v>5051.5515000000005</v>
      </c>
      <c r="O26" s="111">
        <v>3241.71</v>
      </c>
      <c r="P26" s="112" t="s">
        <v>168</v>
      </c>
      <c r="Q26" s="111">
        <v>2977.0084000000002</v>
      </c>
      <c r="R26" s="111">
        <v>151435</v>
      </c>
      <c r="S26" s="111">
        <v>41658.176999999996</v>
      </c>
      <c r="T26" s="111">
        <v>13154.546039999999</v>
      </c>
      <c r="U26" s="111">
        <v>17035.224049999997</v>
      </c>
      <c r="V26" s="111">
        <v>6772.0315000000001</v>
      </c>
      <c r="W26" s="111">
        <v>96290.159899999999</v>
      </c>
      <c r="X26" s="111">
        <v>146164.71979999999</v>
      </c>
      <c r="Y26" s="111">
        <v>169524.8026</v>
      </c>
      <c r="Z26" s="111">
        <v>182641.56359999999</v>
      </c>
      <c r="AA26" s="111">
        <v>226647</v>
      </c>
      <c r="AB26" s="111">
        <v>11850.041850000001</v>
      </c>
      <c r="AC26" s="111">
        <v>9804.1362000000008</v>
      </c>
      <c r="AD26" s="111">
        <v>15137.246250000002</v>
      </c>
      <c r="AE26" s="111">
        <v>1492.7882999999999</v>
      </c>
      <c r="AF26" s="157">
        <v>0</v>
      </c>
      <c r="AG26" s="155"/>
    </row>
    <row r="27" spans="1:33" ht="17.25" customHeight="1" thickBot="1" x14ac:dyDescent="0.3">
      <c r="A27" s="116">
        <v>41712</v>
      </c>
      <c r="B27" s="108">
        <v>27551.422399999999</v>
      </c>
      <c r="C27" s="108">
        <v>18221.653999999999</v>
      </c>
      <c r="D27" s="108">
        <v>177</v>
      </c>
      <c r="E27" s="108">
        <v>14807.842859999995</v>
      </c>
      <c r="F27" s="108">
        <v>429159.58856</v>
      </c>
      <c r="G27" s="108">
        <v>10122.162700000001</v>
      </c>
      <c r="H27" s="108">
        <v>95738.141400000008</v>
      </c>
      <c r="I27" s="108">
        <v>11703.239200000004</v>
      </c>
      <c r="J27" s="108">
        <v>20231.4316</v>
      </c>
      <c r="K27" s="108">
        <v>12965.92</v>
      </c>
      <c r="L27" s="108">
        <v>10873.876799999998</v>
      </c>
      <c r="M27" s="108">
        <v>26808.791999999998</v>
      </c>
      <c r="N27" s="108">
        <v>15581.865600000001</v>
      </c>
      <c r="O27" s="108">
        <v>6816.0525000000016</v>
      </c>
      <c r="P27" s="109" t="s">
        <v>168</v>
      </c>
      <c r="Q27" s="108">
        <v>9630.5906999999988</v>
      </c>
      <c r="R27" s="108">
        <v>122180.4748</v>
      </c>
      <c r="S27" s="108">
        <v>47352.438999999998</v>
      </c>
      <c r="T27" s="108">
        <v>86332.448199999999</v>
      </c>
      <c r="U27" s="108">
        <v>18936.261499999997</v>
      </c>
      <c r="V27" s="108">
        <v>32418.374799999998</v>
      </c>
      <c r="W27" s="108">
        <v>44235.737600000008</v>
      </c>
      <c r="X27" s="108">
        <v>121230.67199999999</v>
      </c>
      <c r="Y27" s="108">
        <v>149390</v>
      </c>
      <c r="Z27" s="108">
        <v>138561.117</v>
      </c>
      <c r="AA27" s="108">
        <v>362808</v>
      </c>
      <c r="AB27" s="108">
        <v>11235.411799999998</v>
      </c>
      <c r="AC27" s="108">
        <v>100877.99520000002</v>
      </c>
      <c r="AD27" s="108">
        <v>22520.9794</v>
      </c>
      <c r="AE27" s="108">
        <v>1305.3505</v>
      </c>
      <c r="AF27" s="156">
        <v>0</v>
      </c>
      <c r="AG27" s="155"/>
    </row>
    <row r="28" spans="1:33" ht="17.25" customHeight="1" x14ac:dyDescent="0.25">
      <c r="A28" s="113">
        <v>41743</v>
      </c>
      <c r="B28" s="114">
        <v>6460.9148999999998</v>
      </c>
      <c r="C28" s="114">
        <v>3776.7682500000001</v>
      </c>
      <c r="D28" s="114">
        <v>13703.217699999999</v>
      </c>
      <c r="E28" s="114">
        <v>10637.225200000001</v>
      </c>
      <c r="F28" s="114">
        <v>403700.06047999999</v>
      </c>
      <c r="G28" s="114">
        <v>20687.636800000007</v>
      </c>
      <c r="H28" s="114">
        <v>150580.22389999998</v>
      </c>
      <c r="I28" s="114">
        <v>6870.7953999999982</v>
      </c>
      <c r="J28" s="114">
        <v>26308.177100000001</v>
      </c>
      <c r="K28" s="114">
        <v>24998.017060000009</v>
      </c>
      <c r="L28" s="114">
        <v>63421.886250000003</v>
      </c>
      <c r="M28" s="114">
        <v>76042.039149999997</v>
      </c>
      <c r="N28" s="114">
        <v>16155.848800000002</v>
      </c>
      <c r="O28" s="114">
        <v>3957.2090000000003</v>
      </c>
      <c r="P28" s="115" t="s">
        <v>168</v>
      </c>
      <c r="Q28" s="114">
        <v>9360.8162000000011</v>
      </c>
      <c r="R28" s="114">
        <v>153671.73120000001</v>
      </c>
      <c r="S28" s="114">
        <v>31276.403100000007</v>
      </c>
      <c r="T28" s="114">
        <v>67400.711399999986</v>
      </c>
      <c r="U28" s="114">
        <v>35839.283299999996</v>
      </c>
      <c r="V28" s="114">
        <v>8404.5662000000011</v>
      </c>
      <c r="W28" s="114">
        <v>56818.162799999998</v>
      </c>
      <c r="X28" s="114">
        <v>126580.40618999999</v>
      </c>
      <c r="Y28" s="114">
        <v>199607.31969999999</v>
      </c>
      <c r="Z28" s="114">
        <v>158663.91620000001</v>
      </c>
      <c r="AA28" s="114">
        <v>522302.84940000001</v>
      </c>
      <c r="AB28" s="114">
        <v>20524.032269999996</v>
      </c>
      <c r="AC28" s="114">
        <v>69326.080000000002</v>
      </c>
      <c r="AD28" s="114">
        <v>17111.409000000003</v>
      </c>
      <c r="AE28" s="91">
        <v>1828.2103</v>
      </c>
      <c r="AF28" s="158">
        <v>2298.3090000000002</v>
      </c>
      <c r="AG28" s="155"/>
    </row>
    <row r="29" spans="1:33" ht="17.25" customHeight="1" x14ac:dyDescent="0.25">
      <c r="A29" s="110">
        <v>41773</v>
      </c>
      <c r="B29" s="111">
        <v>1801.5661</v>
      </c>
      <c r="C29" s="111">
        <v>3886.5319</v>
      </c>
      <c r="D29" s="111">
        <v>27997.002899999999</v>
      </c>
      <c r="E29" s="111">
        <v>7189.9137899999996</v>
      </c>
      <c r="F29" s="111">
        <v>244918.3811</v>
      </c>
      <c r="G29" s="111">
        <v>11942.5591</v>
      </c>
      <c r="H29" s="111">
        <v>55797.156630000005</v>
      </c>
      <c r="I29" s="111">
        <v>5741.983000000002</v>
      </c>
      <c r="J29" s="111">
        <v>21118.785659999998</v>
      </c>
      <c r="K29" s="111">
        <v>8864.3502299999982</v>
      </c>
      <c r="L29" s="111">
        <v>17743.0605</v>
      </c>
      <c r="M29" s="111">
        <v>52100.64185</v>
      </c>
      <c r="N29" s="111">
        <v>15918.12066</v>
      </c>
      <c r="O29" s="111">
        <v>3889.4365000000003</v>
      </c>
      <c r="P29" s="112" t="s">
        <v>168</v>
      </c>
      <c r="Q29" s="111">
        <v>7417.3390599999975</v>
      </c>
      <c r="R29" s="111">
        <v>38582</v>
      </c>
      <c r="S29" s="111">
        <v>25183.397370000002</v>
      </c>
      <c r="T29" s="111">
        <v>96094.873650000009</v>
      </c>
      <c r="U29" s="111">
        <v>11837.607839999999</v>
      </c>
      <c r="V29" s="111">
        <v>17514.754199999999</v>
      </c>
      <c r="W29" s="111">
        <v>6300</v>
      </c>
      <c r="X29" s="111">
        <v>27077.858120000001</v>
      </c>
      <c r="Y29" s="111">
        <v>115593.677</v>
      </c>
      <c r="Z29" s="111">
        <v>139438.93309999999</v>
      </c>
      <c r="AA29" s="111">
        <v>363394</v>
      </c>
      <c r="AB29" s="111">
        <v>11055.301419999996</v>
      </c>
      <c r="AC29" s="111">
        <v>115661.94701999999</v>
      </c>
      <c r="AD29" s="111">
        <v>8020.2447899999988</v>
      </c>
      <c r="AE29" s="111">
        <v>618.42719999999997</v>
      </c>
      <c r="AF29" s="157">
        <v>0</v>
      </c>
      <c r="AG29" s="155"/>
    </row>
    <row r="30" spans="1:33" ht="17.25" customHeight="1" thickBot="1" x14ac:dyDescent="0.3">
      <c r="A30" s="107">
        <v>41804</v>
      </c>
      <c r="B30" s="108">
        <v>1191.0849000000001</v>
      </c>
      <c r="C30" s="108">
        <v>905.48119999999994</v>
      </c>
      <c r="D30" s="108">
        <v>11228.464699999999</v>
      </c>
      <c r="E30" s="108">
        <v>7057.71461</v>
      </c>
      <c r="F30" s="108">
        <v>40002.762770000001</v>
      </c>
      <c r="G30" s="108">
        <v>5871.664600000001</v>
      </c>
      <c r="H30" s="108">
        <v>119844.54319999997</v>
      </c>
      <c r="I30" s="108">
        <v>5446.1614000000009</v>
      </c>
      <c r="J30" s="108">
        <v>11089.454300000001</v>
      </c>
      <c r="K30" s="108">
        <v>21931.816320000002</v>
      </c>
      <c r="L30" s="108">
        <v>10989.159</v>
      </c>
      <c r="M30" s="108">
        <v>10871.4288</v>
      </c>
      <c r="N30" s="108">
        <v>3553.4985199999996</v>
      </c>
      <c r="O30" s="108">
        <v>765.86749999999995</v>
      </c>
      <c r="P30" s="109" t="s">
        <v>168</v>
      </c>
      <c r="Q30" s="108">
        <v>7914.180620000001</v>
      </c>
      <c r="R30" s="108">
        <v>20794</v>
      </c>
      <c r="S30" s="108">
        <v>18171.119499999997</v>
      </c>
      <c r="T30" s="108">
        <v>33156.983479999995</v>
      </c>
      <c r="U30" s="108">
        <v>24925.304159999996</v>
      </c>
      <c r="V30" s="108">
        <v>2858.40452</v>
      </c>
      <c r="W30" s="108">
        <v>1760.4557</v>
      </c>
      <c r="X30" s="108">
        <v>53178</v>
      </c>
      <c r="Y30" s="108">
        <v>30000</v>
      </c>
      <c r="Z30" s="108">
        <v>205.03020000000001</v>
      </c>
      <c r="AA30" s="108">
        <v>74759</v>
      </c>
      <c r="AB30" s="108">
        <v>5180.978900000001</v>
      </c>
      <c r="AC30" s="108">
        <v>38913.843249999998</v>
      </c>
      <c r="AD30" s="108">
        <v>9619.6714499999998</v>
      </c>
      <c r="AE30" s="108">
        <v>234</v>
      </c>
      <c r="AF30" s="156">
        <v>0</v>
      </c>
      <c r="AG30" s="155"/>
    </row>
    <row r="31" spans="1:33" ht="17.25" customHeight="1" x14ac:dyDescent="0.25">
      <c r="A31" s="123">
        <v>41834</v>
      </c>
      <c r="B31" s="111">
        <v>359.04599999999999</v>
      </c>
      <c r="C31" s="111">
        <v>397.44485000000003</v>
      </c>
      <c r="D31" s="111">
        <v>68914.1924</v>
      </c>
      <c r="E31" s="111">
        <v>2148.8647400000004</v>
      </c>
      <c r="F31" s="111">
        <v>20090.550889999999</v>
      </c>
      <c r="G31" s="111">
        <v>12584.7837</v>
      </c>
      <c r="H31" s="111">
        <v>84416.622910000006</v>
      </c>
      <c r="I31" s="111">
        <v>12986.909339999995</v>
      </c>
      <c r="J31" s="111">
        <v>16493.370699999999</v>
      </c>
      <c r="K31" s="111">
        <v>8045.7303000000002</v>
      </c>
      <c r="L31" s="111">
        <v>5782.9072999999999</v>
      </c>
      <c r="M31" s="111">
        <v>0</v>
      </c>
      <c r="N31" s="111">
        <v>4962.8602600000004</v>
      </c>
      <c r="O31" s="111">
        <v>519.18700000000001</v>
      </c>
      <c r="P31" s="112" t="s">
        <v>168</v>
      </c>
      <c r="Q31" s="111">
        <v>2424.7870199999998</v>
      </c>
      <c r="R31" s="111">
        <v>10662</v>
      </c>
      <c r="S31" s="111">
        <v>40597.846489999989</v>
      </c>
      <c r="T31" s="111">
        <v>73579.413249999998</v>
      </c>
      <c r="U31" s="111">
        <v>16976.931919999999</v>
      </c>
      <c r="V31" s="111">
        <v>9788.0869000000002</v>
      </c>
      <c r="W31" s="111">
        <v>3150</v>
      </c>
      <c r="X31" s="111">
        <v>17340.305619999999</v>
      </c>
      <c r="Y31" s="111">
        <v>26.3154</v>
      </c>
      <c r="Z31" s="111">
        <v>3525.8020000000001</v>
      </c>
      <c r="AA31" s="111">
        <v>24768.096550000002</v>
      </c>
      <c r="AB31" s="111">
        <v>16235.960650000005</v>
      </c>
      <c r="AC31" s="111">
        <v>75645.924949999986</v>
      </c>
      <c r="AD31" s="111">
        <v>1814.3930900000003</v>
      </c>
      <c r="AE31" s="91">
        <v>218.78319999999999</v>
      </c>
      <c r="AF31" s="158">
        <v>0</v>
      </c>
      <c r="AG31" s="155"/>
    </row>
    <row r="32" spans="1:33" ht="17.25" customHeight="1" x14ac:dyDescent="0.25">
      <c r="A32" s="123">
        <v>41865</v>
      </c>
      <c r="B32" s="111">
        <v>4113.5851000000002</v>
      </c>
      <c r="C32" s="111">
        <v>190.65160000000003</v>
      </c>
      <c r="D32" s="111">
        <v>91.704399999999993</v>
      </c>
      <c r="E32" s="111">
        <v>1690.1835899999999</v>
      </c>
      <c r="F32" s="111">
        <v>46720.222479999997</v>
      </c>
      <c r="G32" s="111">
        <v>1589.0163999999997</v>
      </c>
      <c r="H32" s="111">
        <v>76834.470560000002</v>
      </c>
      <c r="I32" s="111">
        <v>8046.8694000000014</v>
      </c>
      <c r="J32" s="111">
        <v>14036.247139999998</v>
      </c>
      <c r="K32" s="111">
        <v>7003.4502200000006</v>
      </c>
      <c r="L32" s="111">
        <v>7469.9272000000001</v>
      </c>
      <c r="M32" s="111">
        <v>5614.53</v>
      </c>
      <c r="N32" s="111">
        <v>5207.3154000000004</v>
      </c>
      <c r="O32" s="111">
        <v>487.12499999999994</v>
      </c>
      <c r="P32" s="112" t="s">
        <v>168</v>
      </c>
      <c r="Q32" s="111">
        <v>2096.6735099999996</v>
      </c>
      <c r="R32" s="111">
        <v>19520</v>
      </c>
      <c r="S32" s="111">
        <v>18009.648000000001</v>
      </c>
      <c r="T32" s="111">
        <v>47104.115739999994</v>
      </c>
      <c r="U32" s="111">
        <v>13472.568430000001</v>
      </c>
      <c r="V32" s="111">
        <v>10537.485400000003</v>
      </c>
      <c r="W32" s="111">
        <v>6049.9013999999997</v>
      </c>
      <c r="X32" s="111">
        <v>32129.175499999998</v>
      </c>
      <c r="Y32" s="111">
        <v>25432.025399999999</v>
      </c>
      <c r="Z32" s="111">
        <v>58103.736600000004</v>
      </c>
      <c r="AA32" s="111">
        <v>47310</v>
      </c>
      <c r="AB32" s="111">
        <v>3819.2109999999993</v>
      </c>
      <c r="AC32" s="111">
        <v>33750.5389</v>
      </c>
      <c r="AD32" s="111">
        <v>8843.4575800000002</v>
      </c>
      <c r="AE32" s="111">
        <v>255.01319999999998</v>
      </c>
      <c r="AF32" s="157">
        <v>219.374</v>
      </c>
      <c r="AG32" s="155"/>
    </row>
    <row r="33" spans="1:33" ht="17.25" customHeight="1" thickBot="1" x14ac:dyDescent="0.3">
      <c r="A33" s="122">
        <v>41896</v>
      </c>
      <c r="B33" s="108">
        <v>5038.8822499999997</v>
      </c>
      <c r="C33" s="108">
        <v>145.78425000000001</v>
      </c>
      <c r="D33" s="108">
        <v>36</v>
      </c>
      <c r="E33" s="108">
        <v>1326.0287699999999</v>
      </c>
      <c r="F33" s="108">
        <v>114296.43734</v>
      </c>
      <c r="G33" s="108">
        <v>4516.5770000000002</v>
      </c>
      <c r="H33" s="108">
        <v>-10125.788430000015</v>
      </c>
      <c r="I33" s="108">
        <v>2560.9073899999999</v>
      </c>
      <c r="J33" s="108">
        <v>2206.3168999999998</v>
      </c>
      <c r="K33" s="108">
        <v>9318.9331700000002</v>
      </c>
      <c r="L33" s="108">
        <v>88.348399999999998</v>
      </c>
      <c r="M33" s="108">
        <v>0</v>
      </c>
      <c r="N33" s="108">
        <v>5269.0846000000001</v>
      </c>
      <c r="O33" s="108">
        <v>618.18250000000012</v>
      </c>
      <c r="P33" s="109" t="s">
        <v>168</v>
      </c>
      <c r="Q33" s="108">
        <v>1870.2317599999999</v>
      </c>
      <c r="R33" s="108">
        <v>46050</v>
      </c>
      <c r="S33" s="108">
        <v>15359.336509999999</v>
      </c>
      <c r="T33" s="108">
        <v>14981.576849999999</v>
      </c>
      <c r="U33" s="108">
        <v>21795.266990000004</v>
      </c>
      <c r="V33" s="108">
        <v>2577.8972000000003</v>
      </c>
      <c r="W33" s="108">
        <v>7706.0382</v>
      </c>
      <c r="X33" s="108">
        <v>44248.585099999997</v>
      </c>
      <c r="Y33" s="108">
        <v>49949.667600000001</v>
      </c>
      <c r="Z33" s="108">
        <v>14704.623</v>
      </c>
      <c r="AA33" s="108">
        <v>73087.184800000003</v>
      </c>
      <c r="AB33" s="108">
        <v>1144.7168999999999</v>
      </c>
      <c r="AC33" s="108">
        <v>20007.871410000003</v>
      </c>
      <c r="AD33" s="108">
        <v>12348.540059999998</v>
      </c>
      <c r="AE33" s="108">
        <v>342.79480000000001</v>
      </c>
      <c r="AF33" s="156">
        <v>150</v>
      </c>
      <c r="AG33" s="155"/>
    </row>
    <row r="34" spans="1:33" ht="17.25" customHeight="1" x14ac:dyDescent="0.25">
      <c r="A34" s="121">
        <v>41926</v>
      </c>
      <c r="B34" s="114">
        <v>5846.6863000000003</v>
      </c>
      <c r="C34" s="114">
        <v>456.87592999999998</v>
      </c>
      <c r="D34" s="114">
        <v>60</v>
      </c>
      <c r="E34" s="114">
        <v>4814.8626599999989</v>
      </c>
      <c r="F34" s="114">
        <v>421414.02742</v>
      </c>
      <c r="G34" s="114">
        <v>5731.8933000000006</v>
      </c>
      <c r="H34" s="114">
        <v>50315.293009999994</v>
      </c>
      <c r="I34" s="114">
        <v>3606.1657999999998</v>
      </c>
      <c r="J34" s="114">
        <v>15949.488599999999</v>
      </c>
      <c r="K34" s="114">
        <v>7426.2221</v>
      </c>
      <c r="L34" s="114">
        <v>11375.35968</v>
      </c>
      <c r="M34" s="114">
        <v>96.194280000000006</v>
      </c>
      <c r="N34" s="114">
        <v>5601.1475599999994</v>
      </c>
      <c r="O34" s="114">
        <v>841.36</v>
      </c>
      <c r="P34" s="115" t="s">
        <v>168</v>
      </c>
      <c r="Q34" s="114">
        <v>3858.2578999999992</v>
      </c>
      <c r="R34" s="114">
        <v>133096</v>
      </c>
      <c r="S34" s="114">
        <v>25769.162619999999</v>
      </c>
      <c r="T34" s="114">
        <v>24065.977699999999</v>
      </c>
      <c r="U34" s="114">
        <v>9516.1368199999997</v>
      </c>
      <c r="V34" s="114">
        <v>4241.1453600000004</v>
      </c>
      <c r="W34" s="114">
        <v>72268.622399999993</v>
      </c>
      <c r="X34" s="114">
        <v>133056.7205</v>
      </c>
      <c r="Y34" s="114">
        <v>180183.09299999999</v>
      </c>
      <c r="Z34" s="114">
        <v>177642.86916</v>
      </c>
      <c r="AA34" s="114">
        <v>331440.5</v>
      </c>
      <c r="AB34" s="114">
        <v>2791.1669599999996</v>
      </c>
      <c r="AC34" s="114">
        <v>19782.911219999998</v>
      </c>
      <c r="AD34" s="114">
        <v>3578.4933200000009</v>
      </c>
      <c r="AE34" s="91">
        <v>580.14245999999991</v>
      </c>
      <c r="AF34" s="158">
        <v>0</v>
      </c>
      <c r="AG34" s="155"/>
    </row>
    <row r="35" spans="1:33" ht="17.25" customHeight="1" x14ac:dyDescent="0.25">
      <c r="A35" s="120">
        <v>41957</v>
      </c>
      <c r="B35" s="111">
        <v>4225.3613999999998</v>
      </c>
      <c r="C35" s="111">
        <v>69.164699999999996</v>
      </c>
      <c r="D35" s="111">
        <v>2</v>
      </c>
      <c r="E35" s="111">
        <v>2818.5473099999999</v>
      </c>
      <c r="F35" s="111">
        <v>529184.13320000004</v>
      </c>
      <c r="G35" s="111">
        <v>3089.2186999999999</v>
      </c>
      <c r="H35" s="111">
        <v>20538.982110000001</v>
      </c>
      <c r="I35" s="111">
        <v>1954.0536000000002</v>
      </c>
      <c r="J35" s="111">
        <v>1048.70354</v>
      </c>
      <c r="K35" s="111">
        <v>5000.1014499999992</v>
      </c>
      <c r="L35" s="111">
        <v>34.177599999999998</v>
      </c>
      <c r="M35" s="111">
        <v>510</v>
      </c>
      <c r="N35" s="111">
        <v>19581.073199999999</v>
      </c>
      <c r="O35" s="111">
        <v>1017.1715</v>
      </c>
      <c r="P35" s="112" t="s">
        <v>168</v>
      </c>
      <c r="Q35" s="111">
        <v>1286.6541500000001</v>
      </c>
      <c r="R35" s="111">
        <v>145562</v>
      </c>
      <c r="S35" s="111">
        <v>5537.7570999999998</v>
      </c>
      <c r="T35" s="111">
        <v>9349.0807400000012</v>
      </c>
      <c r="U35" s="111">
        <v>1589.6040799999998</v>
      </c>
      <c r="V35" s="111">
        <v>2862.9492</v>
      </c>
      <c r="W35" s="111">
        <v>42713.939299999998</v>
      </c>
      <c r="X35" s="111">
        <v>105312.7922</v>
      </c>
      <c r="Y35" s="111">
        <v>134980</v>
      </c>
      <c r="Z35" s="111">
        <v>162596.427</v>
      </c>
      <c r="AA35" s="111">
        <v>245194</v>
      </c>
      <c r="AB35" s="111">
        <v>2274.3720199999998</v>
      </c>
      <c r="AC35" s="111">
        <v>5919.8490000000002</v>
      </c>
      <c r="AD35" s="111">
        <v>861.36238000000003</v>
      </c>
      <c r="AE35" s="111">
        <v>96.806600000000003</v>
      </c>
      <c r="AF35" s="157">
        <v>0</v>
      </c>
      <c r="AG35" s="155"/>
    </row>
    <row r="36" spans="1:33" ht="17.25" customHeight="1" thickBot="1" x14ac:dyDescent="0.3">
      <c r="A36" s="119">
        <v>41987</v>
      </c>
      <c r="B36" s="108">
        <v>5968.1756999999998</v>
      </c>
      <c r="C36" s="108">
        <v>494.77940000000001</v>
      </c>
      <c r="D36" s="108">
        <v>14.006399999999999</v>
      </c>
      <c r="E36" s="108">
        <v>3541.9787900000001</v>
      </c>
      <c r="F36" s="108">
        <v>612165.38152000005</v>
      </c>
      <c r="G36" s="108">
        <v>7773.1815999999981</v>
      </c>
      <c r="H36" s="108">
        <v>28574.524890000001</v>
      </c>
      <c r="I36" s="108">
        <v>4017.1949499999996</v>
      </c>
      <c r="J36" s="108">
        <v>1192.173</v>
      </c>
      <c r="K36" s="108">
        <v>4477.8521900000005</v>
      </c>
      <c r="L36" s="108">
        <v>56395.321999999986</v>
      </c>
      <c r="M36" s="108">
        <v>11613.734</v>
      </c>
      <c r="N36" s="108">
        <v>5673.8688700000002</v>
      </c>
      <c r="O36" s="108">
        <v>299.13249999999999</v>
      </c>
      <c r="P36" s="109" t="s">
        <v>168</v>
      </c>
      <c r="Q36" s="108">
        <v>1014.2924600000001</v>
      </c>
      <c r="R36" s="108">
        <v>161351.29999999999</v>
      </c>
      <c r="S36" s="108">
        <v>9252.0028000000002</v>
      </c>
      <c r="T36" s="108">
        <v>7129.7359999999999</v>
      </c>
      <c r="U36" s="108">
        <v>1476.7736300000001</v>
      </c>
      <c r="V36" s="108">
        <v>6031.4250499999998</v>
      </c>
      <c r="W36" s="108">
        <v>26366.810799999999</v>
      </c>
      <c r="X36" s="108">
        <v>128353.96679999999</v>
      </c>
      <c r="Y36" s="108">
        <v>176360.1795</v>
      </c>
      <c r="Z36" s="108">
        <v>160058.69358999998</v>
      </c>
      <c r="AA36" s="108">
        <v>208160</v>
      </c>
      <c r="AB36" s="108">
        <v>2687.2395499999993</v>
      </c>
      <c r="AC36" s="108">
        <v>3433.7744000000002</v>
      </c>
      <c r="AD36" s="108">
        <v>952.86763999999994</v>
      </c>
      <c r="AE36" s="108">
        <v>445.95918999999998</v>
      </c>
      <c r="AF36" s="156">
        <v>150</v>
      </c>
      <c r="AG36" s="155"/>
    </row>
    <row r="37" spans="1:33" ht="17.25" customHeight="1" x14ac:dyDescent="0.25">
      <c r="A37" s="118">
        <v>42019</v>
      </c>
      <c r="B37" s="114">
        <v>7114.4306000000006</v>
      </c>
      <c r="C37" s="114">
        <v>105.68640000000001</v>
      </c>
      <c r="D37" s="114">
        <v>17</v>
      </c>
      <c r="E37" s="114">
        <v>6637.9951000000001</v>
      </c>
      <c r="F37" s="114">
        <v>445276.92206000001</v>
      </c>
      <c r="G37" s="114">
        <v>13283.767</v>
      </c>
      <c r="H37" s="114">
        <v>60946.992160000002</v>
      </c>
      <c r="I37" s="114">
        <v>4048.9937399999994</v>
      </c>
      <c r="J37" s="114">
        <v>40233.395200000006</v>
      </c>
      <c r="K37" s="114">
        <v>7720.8194600000006</v>
      </c>
      <c r="L37" s="114">
        <v>5411.1530000000002</v>
      </c>
      <c r="M37" s="114">
        <v>422.37383999999997</v>
      </c>
      <c r="N37" s="114">
        <v>8809.264360000001</v>
      </c>
      <c r="O37" s="114">
        <v>889.71</v>
      </c>
      <c r="P37" s="115" t="s">
        <v>168</v>
      </c>
      <c r="Q37" s="114">
        <v>3850.1759000000006</v>
      </c>
      <c r="R37" s="114">
        <v>124933.70999999999</v>
      </c>
      <c r="S37" s="114">
        <v>12115.460499999999</v>
      </c>
      <c r="T37" s="114">
        <v>75873.28820000001</v>
      </c>
      <c r="U37" s="114">
        <v>5586.7505000000001</v>
      </c>
      <c r="V37" s="114">
        <v>3268.3053</v>
      </c>
      <c r="W37" s="114">
        <v>42705.643399999994</v>
      </c>
      <c r="X37" s="114">
        <v>83568.739199999996</v>
      </c>
      <c r="Y37" s="114">
        <v>132743.76032</v>
      </c>
      <c r="Z37" s="114">
        <v>151767.87166</v>
      </c>
      <c r="AA37" s="114">
        <v>133526.61479999998</v>
      </c>
      <c r="AB37" s="114">
        <v>3583.923299999999</v>
      </c>
      <c r="AC37" s="114">
        <v>54139.640600000006</v>
      </c>
      <c r="AD37" s="114">
        <v>4280.42202</v>
      </c>
      <c r="AE37" s="91">
        <v>243.92726000000002</v>
      </c>
      <c r="AF37" s="158">
        <v>-200</v>
      </c>
      <c r="AG37" s="155"/>
    </row>
    <row r="38" spans="1:33" ht="17.25" customHeight="1" x14ac:dyDescent="0.25">
      <c r="A38" s="117">
        <v>42050</v>
      </c>
      <c r="B38" s="111">
        <v>2009.5335</v>
      </c>
      <c r="C38" s="111">
        <v>19078.294559999998</v>
      </c>
      <c r="D38" s="111">
        <v>1.4170499999999999</v>
      </c>
      <c r="E38" s="111">
        <v>11012.01656</v>
      </c>
      <c r="F38" s="111">
        <v>439520.50283999997</v>
      </c>
      <c r="G38" s="111">
        <v>11129.164299999999</v>
      </c>
      <c r="H38" s="111">
        <v>71036.96974</v>
      </c>
      <c r="I38" s="111">
        <v>6645.2084999999997</v>
      </c>
      <c r="J38" s="111">
        <v>797.64848999999981</v>
      </c>
      <c r="K38" s="111">
        <v>11284.227269999999</v>
      </c>
      <c r="L38" s="111">
        <v>3057.69</v>
      </c>
      <c r="M38" s="111">
        <v>1257.3440000000001</v>
      </c>
      <c r="N38" s="111">
        <v>2658.7350500000002</v>
      </c>
      <c r="O38" s="111">
        <v>5339.5950000000003</v>
      </c>
      <c r="P38" s="112" t="s">
        <v>168</v>
      </c>
      <c r="Q38" s="111">
        <v>7158.7806200000005</v>
      </c>
      <c r="R38" s="111">
        <v>111988</v>
      </c>
      <c r="S38" s="111">
        <v>24552.234009999993</v>
      </c>
      <c r="T38" s="111">
        <v>45556.223839999999</v>
      </c>
      <c r="U38" s="111">
        <v>14794.295460000003</v>
      </c>
      <c r="V38" s="111">
        <v>8704.4006900000004</v>
      </c>
      <c r="W38" s="111">
        <v>10728.671400000001</v>
      </c>
      <c r="X38" s="111">
        <v>240658.59226</v>
      </c>
      <c r="Y38" s="111">
        <v>111531.73011</v>
      </c>
      <c r="Z38" s="111">
        <v>117689.50623</v>
      </c>
      <c r="AA38" s="111">
        <v>118933</v>
      </c>
      <c r="AB38" s="111">
        <v>4469.9378500000003</v>
      </c>
      <c r="AC38" s="111">
        <v>24024.325150000001</v>
      </c>
      <c r="AD38" s="111">
        <v>23123.895189999999</v>
      </c>
      <c r="AE38" s="111">
        <v>126.33387</v>
      </c>
      <c r="AF38" s="157">
        <v>300</v>
      </c>
      <c r="AG38" s="155"/>
    </row>
    <row r="39" spans="1:33" ht="17.25" customHeight="1" thickBot="1" x14ac:dyDescent="0.3">
      <c r="A39" s="116">
        <v>42078</v>
      </c>
      <c r="B39" s="108">
        <v>30915.259500000004</v>
      </c>
      <c r="C39" s="108">
        <v>31388.719649999995</v>
      </c>
      <c r="D39" s="108">
        <v>2552.4560999999999</v>
      </c>
      <c r="E39" s="108">
        <v>10487.734389999996</v>
      </c>
      <c r="F39" s="108">
        <v>364145.61593999999</v>
      </c>
      <c r="G39" s="108">
        <v>10918.019050000001</v>
      </c>
      <c r="H39" s="108">
        <v>93727.019719999982</v>
      </c>
      <c r="I39" s="108">
        <v>13050.884959999998</v>
      </c>
      <c r="J39" s="108">
        <v>13067.235639999999</v>
      </c>
      <c r="K39" s="108">
        <v>9714.7187799999992</v>
      </c>
      <c r="L39" s="108">
        <v>5615.1562000000004</v>
      </c>
      <c r="M39" s="108">
        <v>305.28316000000001</v>
      </c>
      <c r="N39" s="108">
        <v>15484.73775</v>
      </c>
      <c r="O39" s="108">
        <v>2421.0610000000006</v>
      </c>
      <c r="P39" s="109" t="s">
        <v>168</v>
      </c>
      <c r="Q39" s="108">
        <v>4678.6979299999994</v>
      </c>
      <c r="R39" s="108">
        <v>122395.7696</v>
      </c>
      <c r="S39" s="108">
        <v>24943.852360000001</v>
      </c>
      <c r="T39" s="108">
        <v>27148.466960000002</v>
      </c>
      <c r="U39" s="108">
        <v>21769.295610000001</v>
      </c>
      <c r="V39" s="108">
        <v>41918.0599</v>
      </c>
      <c r="W39" s="108">
        <v>19771.725199999997</v>
      </c>
      <c r="X39" s="108">
        <v>80955.570500000002</v>
      </c>
      <c r="Y39" s="108">
        <v>140126.8554</v>
      </c>
      <c r="Z39" s="108">
        <v>130330.76876000001</v>
      </c>
      <c r="AA39" s="108">
        <v>345732.3456</v>
      </c>
      <c r="AB39" s="108">
        <v>13001.919299999998</v>
      </c>
      <c r="AC39" s="108">
        <v>63377.895879999996</v>
      </c>
      <c r="AD39" s="108">
        <v>22101.732900000003</v>
      </c>
      <c r="AE39" s="108">
        <v>-162.20984000000004</v>
      </c>
      <c r="AF39" s="156">
        <v>2348.3325999999997</v>
      </c>
      <c r="AG39" s="155"/>
    </row>
    <row r="40" spans="1:33" ht="17.25" customHeight="1" x14ac:dyDescent="0.25">
      <c r="A40" s="113">
        <v>42109</v>
      </c>
      <c r="B40" s="114">
        <v>8811.4660000000003</v>
      </c>
      <c r="C40" s="114" t="s">
        <v>207</v>
      </c>
      <c r="D40" s="114">
        <v>45489.819400000008</v>
      </c>
      <c r="E40" s="114">
        <v>10299.19613</v>
      </c>
      <c r="F40" s="114">
        <v>376340.38428</v>
      </c>
      <c r="G40" s="114">
        <v>10221.483799999998</v>
      </c>
      <c r="H40" s="114">
        <v>157295.12386999995</v>
      </c>
      <c r="I40" s="114">
        <v>9016.2241900000008</v>
      </c>
      <c r="J40" s="114">
        <v>15574.86832</v>
      </c>
      <c r="K40" s="114">
        <v>24047.630859999997</v>
      </c>
      <c r="L40" s="114">
        <v>18417.117699999999</v>
      </c>
      <c r="M40" s="114">
        <v>5647.0429999999997</v>
      </c>
      <c r="N40" s="114">
        <v>2228.6293000000001</v>
      </c>
      <c r="O40" s="114">
        <v>2504.5050000000006</v>
      </c>
      <c r="P40" s="115" t="s">
        <v>168</v>
      </c>
      <c r="Q40" s="114">
        <v>9153.1814999999988</v>
      </c>
      <c r="R40" s="114">
        <v>122377</v>
      </c>
      <c r="S40" s="114">
        <v>28006.102919999998</v>
      </c>
      <c r="T40" s="114">
        <v>65543.007119999995</v>
      </c>
      <c r="U40" s="114">
        <v>38578.324269999997</v>
      </c>
      <c r="V40" s="114">
        <v>13741.3549</v>
      </c>
      <c r="W40" s="114">
        <v>21813.421900000001</v>
      </c>
      <c r="X40" s="114">
        <v>256782.32499999998</v>
      </c>
      <c r="Y40" s="114">
        <v>174425.5208</v>
      </c>
      <c r="Z40" s="114">
        <v>173665.40411999999</v>
      </c>
      <c r="AA40" s="114">
        <v>446922.18479999999</v>
      </c>
      <c r="AB40" s="114">
        <v>14905.448200000003</v>
      </c>
      <c r="AC40" s="114">
        <v>152166.42672000002</v>
      </c>
      <c r="AD40" s="114">
        <v>16126.471820000002</v>
      </c>
      <c r="AE40" s="91">
        <v>455.69492000000002</v>
      </c>
      <c r="AF40" s="158">
        <v>150</v>
      </c>
      <c r="AG40" s="155"/>
    </row>
    <row r="41" spans="1:33" ht="17.25" customHeight="1" x14ac:dyDescent="0.25">
      <c r="A41" s="110">
        <v>42139</v>
      </c>
      <c r="B41" s="111">
        <v>443.63639999999998</v>
      </c>
      <c r="C41" s="111">
        <v>2797.6785</v>
      </c>
      <c r="D41" s="111">
        <v>115</v>
      </c>
      <c r="E41" s="111">
        <v>4569.6324500000001</v>
      </c>
      <c r="F41" s="111">
        <v>189040.99839999998</v>
      </c>
      <c r="G41" s="111">
        <v>4945.5351499999997</v>
      </c>
      <c r="H41" s="111">
        <v>96082.072849999997</v>
      </c>
      <c r="I41" s="111">
        <v>2814.6058500000004</v>
      </c>
      <c r="J41" s="111">
        <v>17781.701399999994</v>
      </c>
      <c r="K41" s="111">
        <v>7282.6770099999994</v>
      </c>
      <c r="L41" s="111">
        <v>25316.456200000001</v>
      </c>
      <c r="M41" s="111">
        <v>945.72940000000006</v>
      </c>
      <c r="N41" s="111">
        <v>8403.768759999999</v>
      </c>
      <c r="O41" s="111">
        <v>889.70500000000004</v>
      </c>
      <c r="P41" s="112" t="s">
        <v>168</v>
      </c>
      <c r="Q41" s="111">
        <v>1717.17661</v>
      </c>
      <c r="R41" s="111">
        <v>76674</v>
      </c>
      <c r="S41" s="111">
        <v>11315.016389999999</v>
      </c>
      <c r="T41" s="111">
        <v>27567.336579999996</v>
      </c>
      <c r="U41" s="111">
        <v>35415.225489999997</v>
      </c>
      <c r="V41" s="111">
        <v>13799.857</v>
      </c>
      <c r="W41" s="111">
        <v>4865.4493999999995</v>
      </c>
      <c r="X41" s="111">
        <v>45649.769659999998</v>
      </c>
      <c r="Y41" s="111">
        <v>94056</v>
      </c>
      <c r="Z41" s="111">
        <v>81279.140740000003</v>
      </c>
      <c r="AA41" s="111">
        <v>195544</v>
      </c>
      <c r="AB41" s="111">
        <v>5124.9059199999992</v>
      </c>
      <c r="AC41" s="111">
        <v>38123.707450000002</v>
      </c>
      <c r="AD41" s="111">
        <v>14821.227909999996</v>
      </c>
      <c r="AE41" s="111">
        <v>289.81954000000002</v>
      </c>
      <c r="AF41" s="157">
        <v>0</v>
      </c>
      <c r="AG41" s="155"/>
    </row>
    <row r="42" spans="1:33" ht="17.25" customHeight="1" thickBot="1" x14ac:dyDescent="0.3">
      <c r="A42" s="107">
        <v>42170</v>
      </c>
      <c r="B42" s="108">
        <v>2058.2469000000001</v>
      </c>
      <c r="C42" s="108">
        <v>467.72269999999997</v>
      </c>
      <c r="D42" s="108">
        <v>54430.647200000007</v>
      </c>
      <c r="E42" s="108">
        <v>2640.7879600000001</v>
      </c>
      <c r="F42" s="108">
        <v>55288.028899999998</v>
      </c>
      <c r="G42" s="108">
        <v>6623.2277999999997</v>
      </c>
      <c r="H42" s="108">
        <v>69066.659599999999</v>
      </c>
      <c r="I42" s="108">
        <v>4305.0510000000004</v>
      </c>
      <c r="J42" s="108">
        <v>14431.3164</v>
      </c>
      <c r="K42" s="108">
        <v>11918.838229999998</v>
      </c>
      <c r="L42" s="108">
        <v>38718.247500000005</v>
      </c>
      <c r="M42" s="108">
        <v>269.79999999999973</v>
      </c>
      <c r="N42" s="108">
        <v>16450.0013</v>
      </c>
      <c r="O42" s="108">
        <v>387.20074999999997</v>
      </c>
      <c r="P42" s="109" t="s">
        <v>168</v>
      </c>
      <c r="Q42" s="108">
        <v>4825.780960000001</v>
      </c>
      <c r="R42" s="108">
        <v>22625</v>
      </c>
      <c r="S42" s="108">
        <v>14990.095899999998</v>
      </c>
      <c r="T42" s="108">
        <v>25548.997800000001</v>
      </c>
      <c r="U42" s="108">
        <v>9990.8266199999998</v>
      </c>
      <c r="V42" s="108">
        <v>5719.10185</v>
      </c>
      <c r="W42" s="108">
        <v>1890</v>
      </c>
      <c r="X42" s="108">
        <v>64108.994399999996</v>
      </c>
      <c r="Y42" s="108">
        <v>30015</v>
      </c>
      <c r="Z42" s="108">
        <v>5481.5555999999997</v>
      </c>
      <c r="AA42" s="108">
        <v>49837</v>
      </c>
      <c r="AB42" s="108">
        <v>-6228.4741999999933</v>
      </c>
      <c r="AC42" s="108">
        <v>43036.433099999995</v>
      </c>
      <c r="AD42" s="108">
        <v>3805.4954599999996</v>
      </c>
      <c r="AE42" s="108">
        <v>181.63060000000002</v>
      </c>
      <c r="AF42" s="156">
        <v>0</v>
      </c>
      <c r="AG42" s="155"/>
    </row>
    <row r="43" spans="1:33" ht="17.25" customHeight="1" x14ac:dyDescent="0.25">
      <c r="A43" s="123">
        <v>42200</v>
      </c>
      <c r="B43" s="111">
        <v>879.33609999999999</v>
      </c>
      <c r="C43" s="111">
        <v>2395.2209000000007</v>
      </c>
      <c r="D43" s="111">
        <v>48740.30279999999</v>
      </c>
      <c r="E43" s="111">
        <v>4600.0756099999999</v>
      </c>
      <c r="F43" s="111">
        <v>19165.729429999999</v>
      </c>
      <c r="G43" s="111">
        <v>6730.6342000000013</v>
      </c>
      <c r="H43" s="111">
        <v>87446.86348</v>
      </c>
      <c r="I43" s="111">
        <v>2255.6361499999998</v>
      </c>
      <c r="J43" s="111">
        <v>7794.2575000000006</v>
      </c>
      <c r="K43" s="111">
        <v>11555.32186</v>
      </c>
      <c r="L43" s="111">
        <v>16843.540199999999</v>
      </c>
      <c r="M43" s="111">
        <v>6701.6545999999998</v>
      </c>
      <c r="N43" s="111">
        <v>8809.264360000001</v>
      </c>
      <c r="O43" s="111">
        <v>4759.3245000000006</v>
      </c>
      <c r="P43" s="112" t="s">
        <v>168</v>
      </c>
      <c r="Q43" s="111">
        <v>2974.2430199999999</v>
      </c>
      <c r="R43" s="111">
        <v>6238</v>
      </c>
      <c r="S43" s="111">
        <v>14499.525510000001</v>
      </c>
      <c r="T43" s="111">
        <v>35767.892069999994</v>
      </c>
      <c r="U43" s="111">
        <v>12165.193679999998</v>
      </c>
      <c r="V43" s="111">
        <v>16658.696799999998</v>
      </c>
      <c r="W43" s="111">
        <v>-4951</v>
      </c>
      <c r="X43" s="111">
        <v>22641.412100000001</v>
      </c>
      <c r="Y43" s="111">
        <v>75.791960000000003</v>
      </c>
      <c r="Z43" s="111">
        <v>711.1979</v>
      </c>
      <c r="AA43" s="111">
        <v>25235.715</v>
      </c>
      <c r="AB43" s="111">
        <v>12420.44175</v>
      </c>
      <c r="AC43" s="111">
        <v>36109.511280000006</v>
      </c>
      <c r="AD43" s="111">
        <v>5431.30303</v>
      </c>
      <c r="AE43" s="91">
        <v>12.768849999999929</v>
      </c>
      <c r="AF43" s="158">
        <v>0</v>
      </c>
      <c r="AG43" s="155"/>
    </row>
    <row r="44" spans="1:33" ht="17.25" customHeight="1" x14ac:dyDescent="0.25">
      <c r="A44" s="123">
        <v>42231</v>
      </c>
      <c r="B44" s="111">
        <v>4200.4375</v>
      </c>
      <c r="C44" s="111">
        <v>587.18518000000006</v>
      </c>
      <c r="D44" s="111">
        <v>75</v>
      </c>
      <c r="E44" s="111">
        <v>1083.10698</v>
      </c>
      <c r="F44" s="111">
        <v>21093.327679999999</v>
      </c>
      <c r="G44" s="111">
        <v>7124.7807999999995</v>
      </c>
      <c r="H44" s="111">
        <v>47509.562079999989</v>
      </c>
      <c r="I44" s="111">
        <v>1597.7964400000001</v>
      </c>
      <c r="J44" s="111">
        <v>61113.7376</v>
      </c>
      <c r="K44" s="111">
        <v>5990.3895699999994</v>
      </c>
      <c r="L44" s="111">
        <v>14064.869500000001</v>
      </c>
      <c r="M44" s="111">
        <v>120.2985</v>
      </c>
      <c r="N44" s="111">
        <v>2658.7350500000002</v>
      </c>
      <c r="O44" s="111">
        <v>96.072499999999991</v>
      </c>
      <c r="P44" s="112" t="s">
        <v>168</v>
      </c>
      <c r="Q44" s="111">
        <v>1775.0438200000001</v>
      </c>
      <c r="R44" s="111">
        <v>3813</v>
      </c>
      <c r="S44" s="111">
        <v>22224.121760000002</v>
      </c>
      <c r="T44" s="111">
        <v>8801.373520000001</v>
      </c>
      <c r="U44" s="111">
        <v>18406.560300000001</v>
      </c>
      <c r="V44" s="111">
        <v>4740.1915500000005</v>
      </c>
      <c r="W44" s="111">
        <v>0</v>
      </c>
      <c r="X44" s="111">
        <v>3293.3866399999997</v>
      </c>
      <c r="Y44" s="111">
        <v>4990</v>
      </c>
      <c r="Z44" s="111">
        <v>29155.721809999999</v>
      </c>
      <c r="AA44" s="111">
        <v>12432.184799999999</v>
      </c>
      <c r="AB44" s="111">
        <v>1944.75685</v>
      </c>
      <c r="AC44" s="111">
        <v>21644.000480000002</v>
      </c>
      <c r="AD44" s="111">
        <v>2187.1886600000003</v>
      </c>
      <c r="AE44" s="111">
        <v>323.17361</v>
      </c>
      <c r="AF44" s="157">
        <v>15</v>
      </c>
      <c r="AG44" s="155"/>
    </row>
    <row r="45" spans="1:33" ht="17.25" customHeight="1" thickBot="1" x14ac:dyDescent="0.3">
      <c r="A45" s="122">
        <v>42262</v>
      </c>
      <c r="B45" s="108">
        <v>6430.5978999999998</v>
      </c>
      <c r="C45" s="108">
        <v>2787.9255000000003</v>
      </c>
      <c r="D45" s="108">
        <v>28.382400000000001</v>
      </c>
      <c r="E45" s="108">
        <v>2248.4661900000006</v>
      </c>
      <c r="F45" s="108">
        <v>116469.20939999999</v>
      </c>
      <c r="G45" s="108">
        <v>10016.2415</v>
      </c>
      <c r="H45" s="108">
        <v>80389.88413999998</v>
      </c>
      <c r="I45" s="108">
        <v>2930.4992499999998</v>
      </c>
      <c r="J45" s="108">
        <v>6868.8557800000008</v>
      </c>
      <c r="K45" s="108">
        <v>9971.3870400000014</v>
      </c>
      <c r="L45" s="108">
        <v>8055.7373999999991</v>
      </c>
      <c r="M45" s="108">
        <v>12039.258</v>
      </c>
      <c r="N45" s="108">
        <v>15484.73775</v>
      </c>
      <c r="O45" s="108">
        <v>408.78500000000003</v>
      </c>
      <c r="P45" s="109" t="s">
        <v>168</v>
      </c>
      <c r="Q45" s="108">
        <v>1161.0646599999998</v>
      </c>
      <c r="R45" s="108">
        <v>48675</v>
      </c>
      <c r="S45" s="108">
        <v>28942.290280000001</v>
      </c>
      <c r="T45" s="108">
        <v>24252.825780000003</v>
      </c>
      <c r="U45" s="108">
        <v>26506.278120000006</v>
      </c>
      <c r="V45" s="108">
        <v>3407.4308499999997</v>
      </c>
      <c r="W45" s="108">
        <v>1492.6414</v>
      </c>
      <c r="X45" s="108">
        <v>33006.171300000002</v>
      </c>
      <c r="Y45" s="108">
        <v>74930.071309999999</v>
      </c>
      <c r="Z45" s="108">
        <v>58268.591710000001</v>
      </c>
      <c r="AA45" s="108">
        <v>112444</v>
      </c>
      <c r="AB45" s="108">
        <v>-8981.7614000000012</v>
      </c>
      <c r="AC45" s="108">
        <v>20181.34158</v>
      </c>
      <c r="AD45" s="108">
        <v>9441.8028099999992</v>
      </c>
      <c r="AE45" s="108">
        <v>118.06441000000001</v>
      </c>
      <c r="AF45" s="156">
        <v>47.7</v>
      </c>
      <c r="AG45" s="155"/>
    </row>
    <row r="46" spans="1:33" ht="17.25" customHeight="1" x14ac:dyDescent="0.25">
      <c r="A46" s="121">
        <v>42292</v>
      </c>
      <c r="B46" s="114">
        <v>-3079.909200000001</v>
      </c>
      <c r="C46" s="114">
        <v>-1486.7393199999997</v>
      </c>
      <c r="D46" s="114">
        <v>61.7044</v>
      </c>
      <c r="E46" s="114">
        <v>3888.1289200000001</v>
      </c>
      <c r="F46" s="114">
        <v>485642.17180000001</v>
      </c>
      <c r="G46" s="114">
        <v>3812.8856000000001</v>
      </c>
      <c r="H46" s="114">
        <v>35481.96</v>
      </c>
      <c r="I46" s="114">
        <v>3785.8807999999999</v>
      </c>
      <c r="J46" s="114">
        <v>12421.734400000001</v>
      </c>
      <c r="K46" s="114">
        <v>6403.3728200000005</v>
      </c>
      <c r="L46" s="114">
        <v>24241.256800000003</v>
      </c>
      <c r="M46" s="114">
        <v>-5498.2394000000004</v>
      </c>
      <c r="N46" s="114">
        <v>2228.6293000000001</v>
      </c>
      <c r="O46" s="114">
        <v>559.46</v>
      </c>
      <c r="P46" s="115" t="s">
        <v>168</v>
      </c>
      <c r="Q46" s="114">
        <v>2961.3437599999997</v>
      </c>
      <c r="R46" s="114">
        <v>119280</v>
      </c>
      <c r="S46" s="114">
        <v>-15632.196550000001</v>
      </c>
      <c r="T46" s="114">
        <v>11059.097699999998</v>
      </c>
      <c r="U46" s="114">
        <v>4190.5451800000001</v>
      </c>
      <c r="V46" s="114">
        <v>7004.330939999998</v>
      </c>
      <c r="W46" s="114">
        <v>36079.729599999999</v>
      </c>
      <c r="X46" s="114">
        <v>102312.75109999999</v>
      </c>
      <c r="Y46" s="114">
        <v>170297.2286</v>
      </c>
      <c r="Z46" s="114">
        <v>149143.92012</v>
      </c>
      <c r="AA46" s="114">
        <v>272577.67004</v>
      </c>
      <c r="AB46" s="114">
        <v>4139.1185000000005</v>
      </c>
      <c r="AC46" s="114">
        <v>8757.7242499999993</v>
      </c>
      <c r="AD46" s="114">
        <v>2699.5102200000006</v>
      </c>
      <c r="AE46" s="91">
        <v>348.53422</v>
      </c>
      <c r="AF46" s="158">
        <v>34.5</v>
      </c>
      <c r="AG46" s="155"/>
    </row>
    <row r="47" spans="1:33" ht="17.25" customHeight="1" x14ac:dyDescent="0.25">
      <c r="A47" s="120">
        <v>42323</v>
      </c>
      <c r="B47" s="111">
        <v>516.86930000000007</v>
      </c>
      <c r="C47" s="111">
        <v>254.1755</v>
      </c>
      <c r="D47" s="111">
        <v>5</v>
      </c>
      <c r="E47" s="111">
        <v>3505.01523</v>
      </c>
      <c r="F47" s="111">
        <v>583082.93507999997</v>
      </c>
      <c r="G47" s="111">
        <v>8457.9821999999986</v>
      </c>
      <c r="H47" s="111">
        <v>40022.562069999993</v>
      </c>
      <c r="I47" s="111">
        <v>203.63264999999998</v>
      </c>
      <c r="J47" s="111">
        <v>7376.5615400000006</v>
      </c>
      <c r="K47" s="111">
        <v>1674.45705</v>
      </c>
      <c r="L47" s="111">
        <v>40737.866999999991</v>
      </c>
      <c r="M47" s="111">
        <v>64.039500000000004</v>
      </c>
      <c r="N47" s="111">
        <v>8403.768759999999</v>
      </c>
      <c r="O47" s="111">
        <v>280.11500000000001</v>
      </c>
      <c r="P47" s="112" t="s">
        <v>168</v>
      </c>
      <c r="Q47" s="111">
        <v>800.09522000000004</v>
      </c>
      <c r="R47" s="111">
        <v>178576</v>
      </c>
      <c r="S47" s="111">
        <v>4958.5235599999996</v>
      </c>
      <c r="T47" s="111">
        <v>12050.780060000001</v>
      </c>
      <c r="U47" s="111">
        <v>6012.8805300000004</v>
      </c>
      <c r="V47" s="111">
        <v>1830.1264000000001</v>
      </c>
      <c r="W47" s="111">
        <v>85296.159</v>
      </c>
      <c r="X47" s="111">
        <v>125620.34393999999</v>
      </c>
      <c r="Y47" s="111">
        <v>200223.13735999999</v>
      </c>
      <c r="Z47" s="111">
        <v>210781.7236</v>
      </c>
      <c r="AA47" s="111">
        <v>285034</v>
      </c>
      <c r="AB47" s="111">
        <v>1002.5556</v>
      </c>
      <c r="AC47" s="111">
        <v>13874.682780000001</v>
      </c>
      <c r="AD47" s="111">
        <v>2249.0293399999996</v>
      </c>
      <c r="AE47" s="111">
        <v>63.750900000000009</v>
      </c>
      <c r="AF47" s="157">
        <v>150</v>
      </c>
      <c r="AG47" s="155"/>
    </row>
    <row r="48" spans="1:33" ht="17.25" customHeight="1" thickBot="1" x14ac:dyDescent="0.3">
      <c r="A48" s="119">
        <v>42353</v>
      </c>
      <c r="B48" s="108">
        <v>84308.6783</v>
      </c>
      <c r="C48" s="108">
        <v>91.535699999999991</v>
      </c>
      <c r="D48" s="108">
        <v>10</v>
      </c>
      <c r="E48" s="108">
        <v>4415.1205599999994</v>
      </c>
      <c r="F48" s="108">
        <v>563193.47080000001</v>
      </c>
      <c r="G48" s="108">
        <v>7928.1654000000008</v>
      </c>
      <c r="H48" s="108">
        <v>36275.738799999999</v>
      </c>
      <c r="I48" s="108">
        <v>2738.5464400000001</v>
      </c>
      <c r="J48" s="108">
        <v>7169.3435799999997</v>
      </c>
      <c r="K48" s="108">
        <v>5629.5182600000007</v>
      </c>
      <c r="L48" s="108">
        <v>31109.462999999996</v>
      </c>
      <c r="M48" s="108">
        <v>64.039500000000004</v>
      </c>
      <c r="N48" s="108">
        <v>16450.0013</v>
      </c>
      <c r="O48" s="108">
        <v>464.61500000000001</v>
      </c>
      <c r="P48" s="109" t="s">
        <v>168</v>
      </c>
      <c r="Q48" s="108">
        <v>1110.4837600000001</v>
      </c>
      <c r="R48" s="108">
        <v>147591</v>
      </c>
      <c r="S48" s="108">
        <v>15177.90724</v>
      </c>
      <c r="T48" s="108">
        <v>12666.524379999999</v>
      </c>
      <c r="U48" s="108">
        <v>3587.0202100000001</v>
      </c>
      <c r="V48" s="108">
        <v>3265.4773</v>
      </c>
      <c r="W48" s="108">
        <v>34767.2376</v>
      </c>
      <c r="X48" s="108">
        <v>91760</v>
      </c>
      <c r="Y48" s="108">
        <v>190005</v>
      </c>
      <c r="Z48" s="108">
        <v>199158.48610000001</v>
      </c>
      <c r="AA48" s="108">
        <v>203134.18479999999</v>
      </c>
      <c r="AB48" s="108">
        <v>731.44345999999996</v>
      </c>
      <c r="AC48" s="108">
        <v>8954.3936200000007</v>
      </c>
      <c r="AD48" s="108">
        <v>824.53269999999998</v>
      </c>
      <c r="AE48" s="108">
        <v>27.378100000000003</v>
      </c>
      <c r="AF48" s="156">
        <v>0</v>
      </c>
      <c r="AG48" s="155"/>
    </row>
    <row r="49" spans="1:33" ht="17.25" customHeight="1" x14ac:dyDescent="0.25">
      <c r="A49" s="118">
        <v>42385</v>
      </c>
      <c r="B49" s="114">
        <v>232.47640000000001</v>
      </c>
      <c r="C49" s="114">
        <v>788.38925000000006</v>
      </c>
      <c r="D49" s="114">
        <v>657.596</v>
      </c>
      <c r="E49" s="114">
        <v>6115.3105999999998</v>
      </c>
      <c r="F49" s="114">
        <v>389748.43280000001</v>
      </c>
      <c r="G49" s="114">
        <v>3358.8181999999997</v>
      </c>
      <c r="H49" s="114">
        <v>46831.670299999998</v>
      </c>
      <c r="I49" s="114">
        <v>2491.2000299999995</v>
      </c>
      <c r="J49" s="114">
        <v>7561.3576799999992</v>
      </c>
      <c r="K49" s="114">
        <v>6445.7091400000008</v>
      </c>
      <c r="L49" s="114">
        <v>35799.754780000003</v>
      </c>
      <c r="M49" s="114">
        <v>0</v>
      </c>
      <c r="N49" s="114">
        <v>5513.8825000000006</v>
      </c>
      <c r="O49" s="114">
        <v>77.174999999999997</v>
      </c>
      <c r="P49" s="115" t="s">
        <v>168</v>
      </c>
      <c r="Q49" s="114">
        <v>2095.5860600000001</v>
      </c>
      <c r="R49" s="114">
        <v>123492</v>
      </c>
      <c r="S49" s="114">
        <v>9418.5285299999996</v>
      </c>
      <c r="T49" s="114">
        <v>7384.9369299999998</v>
      </c>
      <c r="U49" s="114">
        <v>4269.8420800000004</v>
      </c>
      <c r="V49" s="114">
        <v>8610.701500000001</v>
      </c>
      <c r="W49" s="114">
        <v>31025.970799999999</v>
      </c>
      <c r="X49" s="114">
        <v>108509.4218</v>
      </c>
      <c r="Y49" s="114">
        <v>115111.53020000001</v>
      </c>
      <c r="Z49" s="114">
        <v>143736.83970000001</v>
      </c>
      <c r="AA49" s="114">
        <v>138508</v>
      </c>
      <c r="AB49" s="114">
        <v>8555.4465999999993</v>
      </c>
      <c r="AC49" s="114">
        <v>5364.7798900000007</v>
      </c>
      <c r="AD49" s="114">
        <v>2439.4021400000001</v>
      </c>
      <c r="AE49" s="91">
        <v>42.187600000000003</v>
      </c>
      <c r="AF49" s="158">
        <v>109.25</v>
      </c>
      <c r="AG49" s="155"/>
    </row>
    <row r="50" spans="1:33" ht="17.25" customHeight="1" x14ac:dyDescent="0.25">
      <c r="A50" s="117">
        <v>42416</v>
      </c>
      <c r="B50" s="111">
        <v>2460.1393499999999</v>
      </c>
      <c r="C50" s="111">
        <v>26808.286949999998</v>
      </c>
      <c r="D50" s="111">
        <v>281.2276</v>
      </c>
      <c r="E50" s="111">
        <v>13002.215780000004</v>
      </c>
      <c r="F50" s="111">
        <v>635320.23800000001</v>
      </c>
      <c r="G50" s="111">
        <v>14785.383699999997</v>
      </c>
      <c r="H50" s="111">
        <v>77502.321719999993</v>
      </c>
      <c r="I50" s="111">
        <v>10284.800790000005</v>
      </c>
      <c r="J50" s="111">
        <v>18435.266659999998</v>
      </c>
      <c r="K50" s="111">
        <v>7095.6514100000004</v>
      </c>
      <c r="L50" s="111">
        <v>2782.5034000000005</v>
      </c>
      <c r="M50" s="111">
        <v>1348.0395000000001</v>
      </c>
      <c r="N50" s="111">
        <v>2239.3368</v>
      </c>
      <c r="O50" s="111">
        <v>481.71500000000003</v>
      </c>
      <c r="P50" s="112" t="s">
        <v>168</v>
      </c>
      <c r="Q50" s="111">
        <v>3319.9382800000003</v>
      </c>
      <c r="R50" s="111">
        <v>155837.5</v>
      </c>
      <c r="S50" s="111">
        <v>50758.202109999991</v>
      </c>
      <c r="T50" s="111">
        <v>18899.531809999997</v>
      </c>
      <c r="U50" s="111">
        <v>15442.843060000001</v>
      </c>
      <c r="V50" s="111">
        <v>7688.6795499999998</v>
      </c>
      <c r="W50" s="111">
        <v>38262.682199999996</v>
      </c>
      <c r="X50" s="111">
        <v>89344.941800000001</v>
      </c>
      <c r="Y50" s="111">
        <v>157223.10384</v>
      </c>
      <c r="Z50" s="111">
        <v>163352.43327000001</v>
      </c>
      <c r="AA50" s="111">
        <v>90738.164999999994</v>
      </c>
      <c r="AB50" s="111">
        <v>4817.3415599999998</v>
      </c>
      <c r="AC50" s="111">
        <v>16246.666930000003</v>
      </c>
      <c r="AD50" s="111">
        <v>20401.242829999999</v>
      </c>
      <c r="AE50" s="111">
        <v>144.36966999999999</v>
      </c>
      <c r="AF50" s="157">
        <v>0</v>
      </c>
      <c r="AG50" s="155"/>
    </row>
    <row r="51" spans="1:33" ht="17.25" customHeight="1" thickBot="1" x14ac:dyDescent="0.3">
      <c r="A51" s="116">
        <v>42445</v>
      </c>
      <c r="B51" s="108">
        <v>1910.1505999999999</v>
      </c>
      <c r="C51" s="108">
        <v>40093.429179999985</v>
      </c>
      <c r="D51" s="108">
        <v>36495.108399999997</v>
      </c>
      <c r="E51" s="108">
        <v>15007.499080000005</v>
      </c>
      <c r="F51" s="108">
        <v>426964.23442999995</v>
      </c>
      <c r="G51" s="108">
        <v>16365.507500000003</v>
      </c>
      <c r="H51" s="108">
        <v>88694.425789999979</v>
      </c>
      <c r="I51" s="108">
        <v>9407.7864000000009</v>
      </c>
      <c r="J51" s="108">
        <v>70973.921940000015</v>
      </c>
      <c r="K51" s="108">
        <v>10562.42978</v>
      </c>
      <c r="L51" s="108">
        <v>31073.228550000003</v>
      </c>
      <c r="M51" s="108">
        <v>484.03949999999998</v>
      </c>
      <c r="N51" s="108">
        <v>4302.66626</v>
      </c>
      <c r="O51" s="108">
        <v>223.49250000000001</v>
      </c>
      <c r="P51" s="109" t="s">
        <v>168</v>
      </c>
      <c r="Q51" s="108">
        <v>3693.7055600000003</v>
      </c>
      <c r="R51" s="108">
        <v>114330</v>
      </c>
      <c r="S51" s="108">
        <v>71268.688359999986</v>
      </c>
      <c r="T51" s="108">
        <v>41858.286460000003</v>
      </c>
      <c r="U51" s="108">
        <v>20272.450950000006</v>
      </c>
      <c r="V51" s="108">
        <v>48412.264499999997</v>
      </c>
      <c r="W51" s="108">
        <v>30922.016799999998</v>
      </c>
      <c r="X51" s="108">
        <v>121180.82625000001</v>
      </c>
      <c r="Y51" s="108">
        <v>155374.084</v>
      </c>
      <c r="Z51" s="108">
        <v>183069.38046000001</v>
      </c>
      <c r="AA51" s="108">
        <v>312731.76104999997</v>
      </c>
      <c r="AB51" s="108">
        <v>20905.789450000004</v>
      </c>
      <c r="AC51" s="108">
        <v>83473.673679999978</v>
      </c>
      <c r="AD51" s="108">
        <v>15750.61519</v>
      </c>
      <c r="AE51" s="108">
        <v>460.60866000000004</v>
      </c>
      <c r="AF51" s="156">
        <v>3340.7952</v>
      </c>
      <c r="AG51" s="155"/>
    </row>
    <row r="52" spans="1:33" ht="17.25" customHeight="1" x14ac:dyDescent="0.25">
      <c r="A52" s="113">
        <v>42476</v>
      </c>
      <c r="B52" s="114">
        <v>6778.9494000000013</v>
      </c>
      <c r="C52" s="114">
        <v>15714.627200000001</v>
      </c>
      <c r="D52" s="114">
        <v>85</v>
      </c>
      <c r="E52" s="114">
        <v>9075.6717600000011</v>
      </c>
      <c r="F52" s="114">
        <v>405210.86119999998</v>
      </c>
      <c r="G52" s="114">
        <v>11332.528299999998</v>
      </c>
      <c r="H52" s="114">
        <v>162499.46252000003</v>
      </c>
      <c r="I52" s="114">
        <v>6808.5284000000001</v>
      </c>
      <c r="J52" s="114">
        <v>19537.354419999996</v>
      </c>
      <c r="K52" s="114">
        <v>17142.590820000001</v>
      </c>
      <c r="L52" s="114">
        <v>23116.120299999999</v>
      </c>
      <c r="M52" s="114">
        <v>1327.4955</v>
      </c>
      <c r="N52" s="114">
        <v>14363.54235</v>
      </c>
      <c r="O52" s="114">
        <v>445.14499999999998</v>
      </c>
      <c r="P52" s="115" t="s">
        <v>168</v>
      </c>
      <c r="Q52" s="114">
        <v>7699.7619600000007</v>
      </c>
      <c r="R52" s="114">
        <v>123464</v>
      </c>
      <c r="S52" s="114">
        <v>54257.707119999985</v>
      </c>
      <c r="T52" s="114">
        <v>61398.192820000004</v>
      </c>
      <c r="U52" s="114">
        <v>49343.459659999993</v>
      </c>
      <c r="V52" s="114">
        <v>10392.662249999999</v>
      </c>
      <c r="W52" s="114">
        <v>24416.296700000003</v>
      </c>
      <c r="X52" s="114">
        <v>96937</v>
      </c>
      <c r="Y52" s="114">
        <v>140015</v>
      </c>
      <c r="Z52" s="114">
        <v>164243.55531999998</v>
      </c>
      <c r="AA52" s="114">
        <v>378361</v>
      </c>
      <c r="AB52" s="114">
        <v>2801.2492000000002</v>
      </c>
      <c r="AC52" s="114">
        <v>41532.285459999999</v>
      </c>
      <c r="AD52" s="114">
        <v>28495.971940000007</v>
      </c>
      <c r="AE52" s="91">
        <v>531.14182000000005</v>
      </c>
      <c r="AF52" s="158">
        <v>2462.1716000000001</v>
      </c>
      <c r="AG52" s="155"/>
    </row>
    <row r="53" spans="1:33" ht="17.25" customHeight="1" x14ac:dyDescent="0.25">
      <c r="A53" s="110">
        <v>42506</v>
      </c>
      <c r="B53" s="111">
        <v>40641.547200000008</v>
      </c>
      <c r="C53" s="111">
        <v>1755.0704999999998</v>
      </c>
      <c r="D53" s="111">
        <v>25602.346400000002</v>
      </c>
      <c r="E53" s="111">
        <v>5172.3797700000005</v>
      </c>
      <c r="F53" s="111">
        <v>303268.80278000003</v>
      </c>
      <c r="G53" s="111">
        <v>4310</v>
      </c>
      <c r="H53" s="111">
        <v>88167.160979999986</v>
      </c>
      <c r="I53" s="111">
        <v>7603.887099999999</v>
      </c>
      <c r="J53" s="111">
        <v>28119.040280000001</v>
      </c>
      <c r="K53" s="111">
        <v>9867.1612399999995</v>
      </c>
      <c r="L53" s="111">
        <v>6553.8421000000008</v>
      </c>
      <c r="M53" s="111">
        <v>65.034900000000007</v>
      </c>
      <c r="N53" s="111">
        <v>6581.1428599999999</v>
      </c>
      <c r="O53" s="111">
        <v>49.5</v>
      </c>
      <c r="P53" s="112" t="s">
        <v>168</v>
      </c>
      <c r="Q53" s="111">
        <v>3557.6391899999999</v>
      </c>
      <c r="R53" s="111">
        <v>155841.7696</v>
      </c>
      <c r="S53" s="111">
        <v>26414.943439999999</v>
      </c>
      <c r="T53" s="111">
        <v>31131.164299999997</v>
      </c>
      <c r="U53" s="111">
        <v>28026.420609999994</v>
      </c>
      <c r="V53" s="111">
        <v>12925.114100000001</v>
      </c>
      <c r="W53" s="111">
        <v>6404.8923999999997</v>
      </c>
      <c r="X53" s="111">
        <v>69862.809899999993</v>
      </c>
      <c r="Y53" s="111">
        <v>89995</v>
      </c>
      <c r="Z53" s="111">
        <v>197850.21506000002</v>
      </c>
      <c r="AA53" s="111">
        <v>180220.24015999999</v>
      </c>
      <c r="AB53" s="111">
        <v>7707.5461999999989</v>
      </c>
      <c r="AC53" s="111">
        <v>77884.811020000008</v>
      </c>
      <c r="AD53" s="111">
        <v>9964.3528299999998</v>
      </c>
      <c r="AE53" s="111">
        <v>4300.67706</v>
      </c>
      <c r="AF53" s="157">
        <v>1544.0436</v>
      </c>
      <c r="AG53" s="155"/>
    </row>
    <row r="54" spans="1:33" ht="17.25" customHeight="1" thickBot="1" x14ac:dyDescent="0.3">
      <c r="A54" s="107">
        <v>42537</v>
      </c>
      <c r="B54" s="108">
        <v>13048.69585</v>
      </c>
      <c r="C54" s="108">
        <v>1284.93985</v>
      </c>
      <c r="D54" s="108">
        <v>27549.010399999999</v>
      </c>
      <c r="E54" s="108">
        <v>4071.51577</v>
      </c>
      <c r="F54" s="108">
        <v>99162.108600000007</v>
      </c>
      <c r="G54" s="108">
        <v>3176.9860499999995</v>
      </c>
      <c r="H54" s="108">
        <v>131863.13257000005</v>
      </c>
      <c r="I54" s="108">
        <v>13129.943700000002</v>
      </c>
      <c r="J54" s="108">
        <v>22894.786689999994</v>
      </c>
      <c r="K54" s="108">
        <v>16942.957729999998</v>
      </c>
      <c r="L54" s="108">
        <v>5500.0522000000001</v>
      </c>
      <c r="M54" s="108">
        <v>422.84249999999997</v>
      </c>
      <c r="N54" s="108">
        <v>3030.5255999999999</v>
      </c>
      <c r="O54" s="108">
        <v>437.34749999999997</v>
      </c>
      <c r="P54" s="109" t="s">
        <v>168</v>
      </c>
      <c r="Q54" s="108">
        <v>6113.6596199999985</v>
      </c>
      <c r="R54" s="108">
        <v>49854.186450000001</v>
      </c>
      <c r="S54" s="108">
        <v>70639.40284000001</v>
      </c>
      <c r="T54" s="108">
        <v>93125.531390000033</v>
      </c>
      <c r="U54" s="108">
        <v>25231.20407</v>
      </c>
      <c r="V54" s="108">
        <v>8455.6010999999999</v>
      </c>
      <c r="W54" s="108">
        <v>366.44100000000003</v>
      </c>
      <c r="X54" s="108">
        <v>24120</v>
      </c>
      <c r="Y54" s="108">
        <v>10000</v>
      </c>
      <c r="Z54" s="108">
        <v>70162.228709999996</v>
      </c>
      <c r="AA54" s="108">
        <v>28151.003700000001</v>
      </c>
      <c r="AB54" s="108">
        <v>11550.725900000003</v>
      </c>
      <c r="AC54" s="108">
        <v>92934.40317000002</v>
      </c>
      <c r="AD54" s="108">
        <v>9892.3018000000011</v>
      </c>
      <c r="AE54" s="108">
        <v>436.55916000000002</v>
      </c>
      <c r="AF54" s="156">
        <v>150</v>
      </c>
      <c r="AG54" s="155"/>
    </row>
    <row r="55" spans="1:33" ht="17.25" customHeight="1" x14ac:dyDescent="0.25">
      <c r="A55" s="123">
        <v>42567</v>
      </c>
      <c r="B55" s="111">
        <v>8497.719219999999</v>
      </c>
      <c r="C55" s="111">
        <v>1148.4402799999998</v>
      </c>
      <c r="D55" s="111">
        <v>71067.522800000006</v>
      </c>
      <c r="E55" s="111">
        <v>2462.1032600000003</v>
      </c>
      <c r="F55" s="111">
        <v>113175.27903000001</v>
      </c>
      <c r="G55" s="111">
        <v>2623.3117999999999</v>
      </c>
      <c r="H55" s="111">
        <v>55435.367649999986</v>
      </c>
      <c r="I55" s="111">
        <v>4994.3539099999989</v>
      </c>
      <c r="J55" s="111">
        <v>11461.9704</v>
      </c>
      <c r="K55" s="111">
        <v>5732.30501</v>
      </c>
      <c r="L55" s="111">
        <v>2987.9713499999998</v>
      </c>
      <c r="M55" s="111">
        <v>76.009500000000003</v>
      </c>
      <c r="N55" s="111">
        <v>3294.2431999999999</v>
      </c>
      <c r="O55" s="111">
        <v>77.174999999999997</v>
      </c>
      <c r="P55" s="112" t="s">
        <v>168</v>
      </c>
      <c r="Q55" s="111">
        <v>2440.9552400000002</v>
      </c>
      <c r="R55" s="111">
        <v>83823</v>
      </c>
      <c r="S55" s="111">
        <v>25532.839059999998</v>
      </c>
      <c r="T55" s="111">
        <v>29178.639770000002</v>
      </c>
      <c r="U55" s="111">
        <v>8203.5868399999999</v>
      </c>
      <c r="V55" s="111">
        <v>13590.421499999999</v>
      </c>
      <c r="W55" s="111">
        <v>3150</v>
      </c>
      <c r="X55" s="111">
        <v>24894.02922</v>
      </c>
      <c r="Y55" s="111">
        <v>69.888000000000005</v>
      </c>
      <c r="Z55" s="111">
        <v>50663.196759999999</v>
      </c>
      <c r="AA55" s="111">
        <v>18562.07936</v>
      </c>
      <c r="AB55" s="111">
        <v>17271.187050000004</v>
      </c>
      <c r="AC55" s="111">
        <v>27363.912280000004</v>
      </c>
      <c r="AD55" s="111">
        <v>5510.6819799999994</v>
      </c>
      <c r="AE55" s="91">
        <v>347.29826000000003</v>
      </c>
      <c r="AF55" s="158">
        <v>225</v>
      </c>
      <c r="AG55" s="155"/>
    </row>
    <row r="56" spans="1:33" ht="17.25" customHeight="1" x14ac:dyDescent="0.25">
      <c r="A56" s="123">
        <v>42598</v>
      </c>
      <c r="B56" s="111">
        <v>2737.3335999999999</v>
      </c>
      <c r="C56" s="111">
        <v>462.48710000000005</v>
      </c>
      <c r="D56" s="111">
        <v>75</v>
      </c>
      <c r="E56" s="111">
        <v>3586.0252999999998</v>
      </c>
      <c r="F56" s="111">
        <v>52782.05290000001</v>
      </c>
      <c r="G56" s="111">
        <v>4196.7423000000008</v>
      </c>
      <c r="H56" s="111">
        <v>68187.354289999988</v>
      </c>
      <c r="I56" s="111">
        <v>2674.2318500000001</v>
      </c>
      <c r="J56" s="111">
        <v>9290.7464299999992</v>
      </c>
      <c r="K56" s="111">
        <v>3359.7148400000001</v>
      </c>
      <c r="L56" s="111">
        <v>15097.531300000001</v>
      </c>
      <c r="M56" s="111">
        <v>555.41100000000006</v>
      </c>
      <c r="N56" s="111">
        <v>4068.9567499999998</v>
      </c>
      <c r="O56" s="111">
        <v>481.71500000000003</v>
      </c>
      <c r="P56" s="112" t="s">
        <v>168</v>
      </c>
      <c r="Q56" s="111">
        <v>702.87666000000002</v>
      </c>
      <c r="R56" s="111">
        <v>12280.636200000001</v>
      </c>
      <c r="S56" s="111">
        <v>6669.4412499999989</v>
      </c>
      <c r="T56" s="111">
        <v>17675.179329999999</v>
      </c>
      <c r="U56" s="111">
        <v>21431.727379999997</v>
      </c>
      <c r="V56" s="111">
        <v>5316.3772500000014</v>
      </c>
      <c r="W56" s="111">
        <v>0</v>
      </c>
      <c r="X56" s="111">
        <v>17370</v>
      </c>
      <c r="Y56" s="111">
        <v>9.8879999999999999</v>
      </c>
      <c r="Z56" s="111">
        <v>15234.603500000001</v>
      </c>
      <c r="AA56" s="111">
        <v>16235</v>
      </c>
      <c r="AB56" s="111">
        <v>599.98160000000007</v>
      </c>
      <c r="AC56" s="111">
        <v>22038.126300000004</v>
      </c>
      <c r="AD56" s="111">
        <v>7575.1999999999989</v>
      </c>
      <c r="AE56" s="111">
        <v>70.607900000000001</v>
      </c>
      <c r="AF56" s="157">
        <v>0</v>
      </c>
      <c r="AG56" s="155"/>
    </row>
    <row r="57" spans="1:33" ht="17.25" customHeight="1" thickBot="1" x14ac:dyDescent="0.3">
      <c r="A57" s="122">
        <v>42629</v>
      </c>
      <c r="B57" s="108">
        <v>1259.615</v>
      </c>
      <c r="C57" s="108">
        <v>709.0680000000001</v>
      </c>
      <c r="D57" s="108">
        <v>25</v>
      </c>
      <c r="E57" s="108">
        <v>1452.03334</v>
      </c>
      <c r="F57" s="108">
        <v>147012.89708</v>
      </c>
      <c r="G57" s="108">
        <v>3389.6931599999998</v>
      </c>
      <c r="H57" s="108">
        <v>49868.661519999994</v>
      </c>
      <c r="I57" s="108">
        <v>4616.3565999999992</v>
      </c>
      <c r="J57" s="108">
        <v>9229.742040000001</v>
      </c>
      <c r="K57" s="108">
        <v>6021.2099499999995</v>
      </c>
      <c r="L57" s="108">
        <v>1605.4726599999999</v>
      </c>
      <c r="M57" s="108">
        <v>-949.78149999999982</v>
      </c>
      <c r="N57" s="108">
        <v>8947.9346600000008</v>
      </c>
      <c r="O57" s="108">
        <v>223.49250000000001</v>
      </c>
      <c r="P57" s="109" t="s">
        <v>168</v>
      </c>
      <c r="Q57" s="108">
        <v>1028.9177400000001</v>
      </c>
      <c r="R57" s="108">
        <v>66962</v>
      </c>
      <c r="S57" s="108">
        <v>13920.597309999997</v>
      </c>
      <c r="T57" s="108">
        <v>29905.593009999993</v>
      </c>
      <c r="U57" s="108">
        <v>2984.45091</v>
      </c>
      <c r="V57" s="108">
        <v>6969.0598599999994</v>
      </c>
      <c r="W57" s="108">
        <v>1896</v>
      </c>
      <c r="X57" s="108">
        <v>26665.931499999999</v>
      </c>
      <c r="Y57" s="108">
        <v>30144.90236</v>
      </c>
      <c r="Z57" s="108">
        <v>96329.124100000001</v>
      </c>
      <c r="AA57" s="108">
        <v>65126.079360000003</v>
      </c>
      <c r="AB57" s="108">
        <v>528.36699999999996</v>
      </c>
      <c r="AC57" s="108">
        <v>28107.47133</v>
      </c>
      <c r="AD57" s="108">
        <v>2022.1505000000002</v>
      </c>
      <c r="AE57" s="108">
        <v>75.619599999999991</v>
      </c>
      <c r="AF57" s="156">
        <v>60</v>
      </c>
      <c r="AG57" s="155"/>
    </row>
    <row r="58" spans="1:33" ht="17.25" customHeight="1" x14ac:dyDescent="0.25">
      <c r="A58" s="121">
        <v>42659</v>
      </c>
      <c r="B58" s="114">
        <v>2476.8697000000002</v>
      </c>
      <c r="C58" s="114">
        <v>313.89975000000004</v>
      </c>
      <c r="D58" s="114">
        <v>75</v>
      </c>
      <c r="E58" s="114">
        <v>3592.56603</v>
      </c>
      <c r="F58" s="114">
        <v>610473.90197999997</v>
      </c>
      <c r="G58" s="114">
        <v>10442.52075</v>
      </c>
      <c r="H58" s="114">
        <v>27883.869690000003</v>
      </c>
      <c r="I58" s="114">
        <v>4450.72</v>
      </c>
      <c r="J58" s="114">
        <v>11137.215040000001</v>
      </c>
      <c r="K58" s="114">
        <v>3621.2692000000002</v>
      </c>
      <c r="L58" s="114">
        <v>10435.234</v>
      </c>
      <c r="M58" s="114">
        <v>75.411000000000001</v>
      </c>
      <c r="N58" s="114">
        <v>13524.692999999999</v>
      </c>
      <c r="O58" s="114">
        <v>445.14499999999998</v>
      </c>
      <c r="P58" s="115" t="s">
        <v>168</v>
      </c>
      <c r="Q58" s="114">
        <v>1356.5906099999997</v>
      </c>
      <c r="R58" s="114">
        <v>198148</v>
      </c>
      <c r="S58" s="114">
        <v>9295.4869500000004</v>
      </c>
      <c r="T58" s="114">
        <v>19914.614510000003</v>
      </c>
      <c r="U58" s="114">
        <v>4589.2401000000009</v>
      </c>
      <c r="V58" s="114">
        <v>5834.9913099999994</v>
      </c>
      <c r="W58" s="114">
        <v>56289.533199999991</v>
      </c>
      <c r="X58" s="114">
        <v>103108.74464</v>
      </c>
      <c r="Y58" s="114">
        <v>145172.47966000001</v>
      </c>
      <c r="Z58" s="114">
        <v>218956.79485000001</v>
      </c>
      <c r="AA58" s="114">
        <v>215476.64455999999</v>
      </c>
      <c r="AB58" s="114">
        <v>2195.94292</v>
      </c>
      <c r="AC58" s="114">
        <v>15422.336550000002</v>
      </c>
      <c r="AD58" s="114">
        <v>2430.5545999999999</v>
      </c>
      <c r="AE58" s="91">
        <v>244.53117</v>
      </c>
      <c r="AF58" s="158">
        <v>150</v>
      </c>
      <c r="AG58" s="155"/>
    </row>
    <row r="59" spans="1:33" ht="17.25" customHeight="1" x14ac:dyDescent="0.25">
      <c r="A59" s="120">
        <v>42690</v>
      </c>
      <c r="B59" s="111">
        <v>121902.65849999999</v>
      </c>
      <c r="C59" s="111">
        <v>111.99977999999999</v>
      </c>
      <c r="D59" s="111">
        <v>1632.296</v>
      </c>
      <c r="E59" s="111">
        <v>3869.1428600000008</v>
      </c>
      <c r="F59" s="111">
        <v>495397.23600000003</v>
      </c>
      <c r="G59" s="111">
        <v>4228.4623599999995</v>
      </c>
      <c r="H59" s="111">
        <v>27157.038699999997</v>
      </c>
      <c r="I59" s="111">
        <v>1862.65211</v>
      </c>
      <c r="J59" s="111">
        <v>39173.551509999998</v>
      </c>
      <c r="K59" s="111">
        <v>2928.7131099999992</v>
      </c>
      <c r="L59" s="111">
        <v>30072.469799999999</v>
      </c>
      <c r="M59" s="111">
        <v>629.03289999999993</v>
      </c>
      <c r="N59" s="111">
        <v>38158.505550000002</v>
      </c>
      <c r="O59" s="111">
        <v>49.5</v>
      </c>
      <c r="P59" s="112" t="s">
        <v>168</v>
      </c>
      <c r="Q59" s="111">
        <v>1062.85418</v>
      </c>
      <c r="R59" s="111">
        <v>147176.5</v>
      </c>
      <c r="S59" s="111">
        <v>37198.141529999994</v>
      </c>
      <c r="T59" s="111">
        <v>33763.147330000007</v>
      </c>
      <c r="U59" s="111">
        <v>1388.2468899999999</v>
      </c>
      <c r="V59" s="111">
        <v>6171.8331099999996</v>
      </c>
      <c r="W59" s="111">
        <v>24102.346799999999</v>
      </c>
      <c r="X59" s="111">
        <v>129303.6586</v>
      </c>
      <c r="Y59" s="111">
        <v>190083.93901</v>
      </c>
      <c r="Z59" s="111">
        <v>192210.75604000001</v>
      </c>
      <c r="AA59" s="111">
        <v>283165</v>
      </c>
      <c r="AB59" s="111">
        <v>873.12434000000007</v>
      </c>
      <c r="AC59" s="111">
        <v>27756.346590000005</v>
      </c>
      <c r="AD59" s="111">
        <v>1769.8966200000002</v>
      </c>
      <c r="AE59" s="111">
        <v>291.00051000000002</v>
      </c>
      <c r="AF59" s="157">
        <v>0</v>
      </c>
      <c r="AG59" s="155"/>
    </row>
    <row r="60" spans="1:33" ht="17.25" customHeight="1" thickBot="1" x14ac:dyDescent="0.3">
      <c r="A60" s="119">
        <v>42720</v>
      </c>
      <c r="B60" s="108">
        <v>30265.597999999998</v>
      </c>
      <c r="C60" s="108">
        <v>192.91320000000002</v>
      </c>
      <c r="D60" s="108">
        <v>1636.49</v>
      </c>
      <c r="E60" s="108">
        <v>4564.0861800000002</v>
      </c>
      <c r="F60" s="108">
        <v>381707.27294</v>
      </c>
      <c r="G60" s="108">
        <v>8980.8931399999983</v>
      </c>
      <c r="H60" s="108">
        <v>25642.00848</v>
      </c>
      <c r="I60" s="108">
        <v>2494.6753399999998</v>
      </c>
      <c r="J60" s="108">
        <v>20011.150079999999</v>
      </c>
      <c r="K60" s="108">
        <v>3101.6035099999999</v>
      </c>
      <c r="L60" s="108">
        <v>50641.214</v>
      </c>
      <c r="M60" s="108">
        <v>76.308750000000003</v>
      </c>
      <c r="N60" s="108">
        <v>7017.7451999999994</v>
      </c>
      <c r="O60" s="108">
        <v>437.34749999999997</v>
      </c>
      <c r="P60" s="109" t="s">
        <v>168</v>
      </c>
      <c r="Q60" s="108">
        <v>1274.9438700000003</v>
      </c>
      <c r="R60" s="108">
        <v>109775</v>
      </c>
      <c r="S60" s="108">
        <v>19102.490639999996</v>
      </c>
      <c r="T60" s="108">
        <v>15914.433060000001</v>
      </c>
      <c r="U60" s="108">
        <v>2652.79898</v>
      </c>
      <c r="V60" s="108">
        <v>3420.0335599999999</v>
      </c>
      <c r="W60" s="108">
        <v>40869.0285</v>
      </c>
      <c r="X60" s="108">
        <v>81657.441800000001</v>
      </c>
      <c r="Y60" s="108">
        <v>128740.47966</v>
      </c>
      <c r="Z60" s="108">
        <v>155004.00644</v>
      </c>
      <c r="AA60" s="108">
        <v>169915.79235999999</v>
      </c>
      <c r="AB60" s="108">
        <v>1307.7247400000001</v>
      </c>
      <c r="AC60" s="108">
        <v>13258.07912</v>
      </c>
      <c r="AD60" s="108">
        <v>1848.9817</v>
      </c>
      <c r="AE60" s="108">
        <v>128.72705999999999</v>
      </c>
      <c r="AF60" s="156">
        <v>0</v>
      </c>
      <c r="AG60" s="155"/>
    </row>
    <row r="61" spans="1:33" ht="17.25" customHeight="1" x14ac:dyDescent="0.25">
      <c r="A61" s="118">
        <v>42752</v>
      </c>
      <c r="B61" s="114">
        <v>34563.312499999993</v>
      </c>
      <c r="C61" s="114">
        <v>1084.6793</v>
      </c>
      <c r="D61" s="114">
        <v>1612.296</v>
      </c>
      <c r="E61" s="114">
        <v>7361.1282399999991</v>
      </c>
      <c r="F61" s="114">
        <v>418635.94319999998</v>
      </c>
      <c r="G61" s="114">
        <v>2261.9621999999999</v>
      </c>
      <c r="H61" s="114">
        <v>60858.829870000001</v>
      </c>
      <c r="I61" s="114">
        <v>4733.461150000001</v>
      </c>
      <c r="J61" s="114">
        <v>58407.007879999997</v>
      </c>
      <c r="K61" s="114">
        <v>5118.6833700000007</v>
      </c>
      <c r="L61" s="114">
        <v>20907.592799999999</v>
      </c>
      <c r="M61" s="114">
        <v>151.12125</v>
      </c>
      <c r="N61" s="114">
        <v>12987.78</v>
      </c>
      <c r="O61" s="114">
        <v>3230.415</v>
      </c>
      <c r="P61" s="115" t="s">
        <v>168</v>
      </c>
      <c r="Q61" s="114">
        <v>2518.2554099999998</v>
      </c>
      <c r="R61" s="114">
        <v>115796</v>
      </c>
      <c r="S61" s="114">
        <v>30452.53368</v>
      </c>
      <c r="T61" s="114">
        <v>36380.825240000006</v>
      </c>
      <c r="U61" s="114">
        <v>5311.1062300000021</v>
      </c>
      <c r="V61" s="114">
        <v>14330.600210000002</v>
      </c>
      <c r="W61" s="114">
        <v>10412.907800000001</v>
      </c>
      <c r="X61" s="114">
        <v>74989.916800000006</v>
      </c>
      <c r="Y61" s="114">
        <v>130187.94305999999</v>
      </c>
      <c r="Z61" s="114">
        <v>131413.07610999999</v>
      </c>
      <c r="AA61" s="114">
        <v>137617.5</v>
      </c>
      <c r="AB61" s="114">
        <v>12241.361990000001</v>
      </c>
      <c r="AC61" s="114">
        <v>33832.773239999995</v>
      </c>
      <c r="AD61" s="114">
        <v>17105.90036</v>
      </c>
      <c r="AE61" s="91">
        <v>438.79232999999999</v>
      </c>
      <c r="AF61" s="158">
        <v>0</v>
      </c>
      <c r="AG61" s="155"/>
    </row>
    <row r="62" spans="1:33" ht="17.25" customHeight="1" x14ac:dyDescent="0.25">
      <c r="A62" s="117">
        <v>42783</v>
      </c>
      <c r="B62" s="111">
        <v>151.809</v>
      </c>
      <c r="C62" s="111">
        <v>28679.305499999999</v>
      </c>
      <c r="D62" s="111">
        <v>30</v>
      </c>
      <c r="E62" s="111">
        <v>11960.710310000002</v>
      </c>
      <c r="F62" s="111">
        <v>390019.40528000006</v>
      </c>
      <c r="G62" s="111">
        <v>11234.501079999998</v>
      </c>
      <c r="H62" s="111">
        <v>87400.089639999991</v>
      </c>
      <c r="I62" s="111">
        <v>6289.3672699999997</v>
      </c>
      <c r="J62" s="111">
        <v>100404.74176999998</v>
      </c>
      <c r="K62" s="111">
        <v>6087.4862000000003</v>
      </c>
      <c r="L62" s="111">
        <v>10760</v>
      </c>
      <c r="M62" s="111">
        <v>753.31290000000013</v>
      </c>
      <c r="N62" s="111">
        <v>11178.908099999999</v>
      </c>
      <c r="O62" s="111">
        <v>338.30500000000001</v>
      </c>
      <c r="P62" s="112" t="s">
        <v>168</v>
      </c>
      <c r="Q62" s="111">
        <v>2738.4667199999999</v>
      </c>
      <c r="R62" s="111">
        <v>92192</v>
      </c>
      <c r="S62" s="111">
        <v>56148.910279999989</v>
      </c>
      <c r="T62" s="111">
        <v>50953.842400000001</v>
      </c>
      <c r="U62" s="111">
        <v>18756.721120000002</v>
      </c>
      <c r="V62" s="111">
        <v>2356.1593000000003</v>
      </c>
      <c r="W62" s="111">
        <v>8977.5460000000003</v>
      </c>
      <c r="X62" s="111">
        <v>67506.189039999997</v>
      </c>
      <c r="Y62" s="111">
        <v>115068</v>
      </c>
      <c r="Z62" s="111">
        <v>110261.2132</v>
      </c>
      <c r="AA62" s="111">
        <v>139929.96455999999</v>
      </c>
      <c r="AB62" s="111">
        <v>907.42274999999995</v>
      </c>
      <c r="AC62" s="111">
        <v>54491.507340000004</v>
      </c>
      <c r="AD62" s="111">
        <v>12580.959930000001</v>
      </c>
      <c r="AE62" s="111">
        <v>41.210599999999999</v>
      </c>
      <c r="AF62" s="157">
        <v>0</v>
      </c>
      <c r="AG62" s="155"/>
    </row>
    <row r="63" spans="1:33" ht="17.25" customHeight="1" thickBot="1" x14ac:dyDescent="0.3">
      <c r="A63" s="116">
        <v>42811</v>
      </c>
      <c r="B63" s="108">
        <v>2647.5904</v>
      </c>
      <c r="C63" s="108">
        <v>21163.16710000001</v>
      </c>
      <c r="D63" s="108">
        <v>384.94</v>
      </c>
      <c r="E63" s="108">
        <v>8424.0295399999995</v>
      </c>
      <c r="F63" s="108">
        <v>275180.82949999999</v>
      </c>
      <c r="G63" s="108">
        <v>7843.1705000000002</v>
      </c>
      <c r="H63" s="108">
        <v>56674.661419999989</v>
      </c>
      <c r="I63" s="108">
        <v>6721.4284000000007</v>
      </c>
      <c r="J63" s="108">
        <v>144792.28239999997</v>
      </c>
      <c r="K63" s="108">
        <v>6339.2531600000002</v>
      </c>
      <c r="L63" s="108">
        <v>14027.53796</v>
      </c>
      <c r="M63" s="108">
        <v>252.16770000000002</v>
      </c>
      <c r="N63" s="108">
        <v>11961.3609</v>
      </c>
      <c r="O63" s="108">
        <v>3330.99</v>
      </c>
      <c r="P63" s="109" t="s">
        <v>168</v>
      </c>
      <c r="Q63" s="108">
        <v>5681.0741400000006</v>
      </c>
      <c r="R63" s="108">
        <v>101203.856</v>
      </c>
      <c r="S63" s="108">
        <v>48735.700950000006</v>
      </c>
      <c r="T63" s="108">
        <v>122790.16565</v>
      </c>
      <c r="U63" s="108">
        <v>11879.455569999998</v>
      </c>
      <c r="V63" s="108">
        <v>38863.703269999998</v>
      </c>
      <c r="W63" s="108">
        <v>40809.943400000004</v>
      </c>
      <c r="X63" s="108">
        <v>56546.7048</v>
      </c>
      <c r="Y63" s="108">
        <v>100251.09752</v>
      </c>
      <c r="Z63" s="108">
        <v>93407.717470000003</v>
      </c>
      <c r="AA63" s="108">
        <v>210456</v>
      </c>
      <c r="AB63" s="108">
        <v>8815.6507299999994</v>
      </c>
      <c r="AC63" s="108">
        <v>116744.64754999998</v>
      </c>
      <c r="AD63" s="108">
        <v>16093.535550000001</v>
      </c>
      <c r="AE63" s="108">
        <v>563.57220999999993</v>
      </c>
      <c r="AF63" s="156">
        <v>8780.8955999999998</v>
      </c>
      <c r="AG63" s="155"/>
    </row>
    <row r="64" spans="1:33" ht="17.25" customHeight="1" x14ac:dyDescent="0.25">
      <c r="A64" s="113">
        <v>42842</v>
      </c>
      <c r="B64" s="114">
        <v>31000.0406</v>
      </c>
      <c r="C64" s="114">
        <v>10007.901330000001</v>
      </c>
      <c r="D64" s="114">
        <v>14113.465400000001</v>
      </c>
      <c r="E64" s="114">
        <v>6000.9547299999995</v>
      </c>
      <c r="F64" s="114">
        <v>237345.8909</v>
      </c>
      <c r="G64" s="114">
        <v>7192.2696999999998</v>
      </c>
      <c r="H64" s="114">
        <v>79692.388780000038</v>
      </c>
      <c r="I64" s="114">
        <v>6966.6566000000003</v>
      </c>
      <c r="J64" s="114">
        <v>181609.38472</v>
      </c>
      <c r="K64" s="114">
        <v>7255.7255100000002</v>
      </c>
      <c r="L64" s="114">
        <v>10742.401159999999</v>
      </c>
      <c r="M64" s="114">
        <v>-2891.6714999999999</v>
      </c>
      <c r="N64" s="114">
        <v>12632.479160000001</v>
      </c>
      <c r="O64" s="114">
        <v>1353.0750000000003</v>
      </c>
      <c r="P64" s="115" t="s">
        <v>168</v>
      </c>
      <c r="Q64" s="114">
        <v>3406.3331500000004</v>
      </c>
      <c r="R64" s="114">
        <v>56832</v>
      </c>
      <c r="S64" s="114">
        <v>31370.176599999995</v>
      </c>
      <c r="T64" s="114">
        <v>132101.71596000003</v>
      </c>
      <c r="U64" s="114">
        <v>12240.187000000002</v>
      </c>
      <c r="V64" s="114">
        <v>8627.7993599999991</v>
      </c>
      <c r="W64" s="114">
        <v>16177.4794</v>
      </c>
      <c r="X64" s="114">
        <v>35871.213759999999</v>
      </c>
      <c r="Y64" s="114">
        <v>100167.217</v>
      </c>
      <c r="Z64" s="114">
        <v>95635.927499999991</v>
      </c>
      <c r="AA64" s="114">
        <v>213242.22349999999</v>
      </c>
      <c r="AB64" s="114">
        <v>4613.0021000000006</v>
      </c>
      <c r="AC64" s="114">
        <v>102633.37539999999</v>
      </c>
      <c r="AD64" s="114">
        <v>10617.345309999999</v>
      </c>
      <c r="AE64" s="91">
        <v>44.866800000000005</v>
      </c>
      <c r="AF64" s="158">
        <v>0</v>
      </c>
      <c r="AG64" s="155"/>
    </row>
    <row r="65" spans="1:36" ht="17.25" customHeight="1" x14ac:dyDescent="0.25">
      <c r="A65" s="110">
        <v>42872</v>
      </c>
      <c r="B65" s="111">
        <v>84513.756620000015</v>
      </c>
      <c r="C65" s="111">
        <v>1661.5879999999997</v>
      </c>
      <c r="D65" s="111">
        <v>53538.558499999992</v>
      </c>
      <c r="E65" s="111">
        <v>7656.9315399999996</v>
      </c>
      <c r="F65" s="111">
        <v>211540.39048</v>
      </c>
      <c r="G65" s="111">
        <v>4238.1542000000009</v>
      </c>
      <c r="H65" s="111">
        <v>81249.655169999984</v>
      </c>
      <c r="I65" s="111">
        <v>10093.376699999997</v>
      </c>
      <c r="J65" s="111">
        <v>216276.1835999999</v>
      </c>
      <c r="K65" s="111">
        <v>12548.6914</v>
      </c>
      <c r="L65" s="111">
        <v>15617.798200000001</v>
      </c>
      <c r="M65" s="111">
        <v>550.42380000000003</v>
      </c>
      <c r="N65" s="111">
        <v>13651.603200000001</v>
      </c>
      <c r="O65" s="111">
        <v>734.14</v>
      </c>
      <c r="P65" s="112" t="s">
        <v>168</v>
      </c>
      <c r="Q65" s="111">
        <v>3668.5360000000001</v>
      </c>
      <c r="R65" s="111">
        <v>79286.5</v>
      </c>
      <c r="S65" s="111">
        <v>21511.654659999997</v>
      </c>
      <c r="T65" s="111">
        <v>158422.65891999996</v>
      </c>
      <c r="U65" s="111">
        <v>6578.7200200000007</v>
      </c>
      <c r="V65" s="111">
        <v>11553.5756</v>
      </c>
      <c r="W65" s="111">
        <v>2966.4259999999999</v>
      </c>
      <c r="X65" s="111">
        <v>51406.86724</v>
      </c>
      <c r="Y65" s="111">
        <v>59995</v>
      </c>
      <c r="Z65" s="111">
        <v>91928.977559999999</v>
      </c>
      <c r="AA65" s="111">
        <v>149761.14455999999</v>
      </c>
      <c r="AB65" s="111">
        <v>15031.737100000002</v>
      </c>
      <c r="AC65" s="111">
        <v>53829.695680000012</v>
      </c>
      <c r="AD65" s="111">
        <v>6228.2476900000001</v>
      </c>
      <c r="AE65" s="111">
        <v>9134.6027599999998</v>
      </c>
      <c r="AF65" s="157">
        <v>1125</v>
      </c>
      <c r="AG65" s="155"/>
    </row>
    <row r="66" spans="1:36" ht="17.25" customHeight="1" thickBot="1" x14ac:dyDescent="0.3">
      <c r="A66" s="107">
        <v>42903</v>
      </c>
      <c r="B66" s="108">
        <v>69003.373640000005</v>
      </c>
      <c r="C66" s="108">
        <v>2345.9560800000004</v>
      </c>
      <c r="D66" s="108">
        <v>26568.289200000003</v>
      </c>
      <c r="E66" s="108">
        <v>6044.8924900000002</v>
      </c>
      <c r="F66" s="108">
        <v>56695.77399999999</v>
      </c>
      <c r="G66" s="108">
        <v>4636.7918</v>
      </c>
      <c r="H66" s="108">
        <v>75411.016060000038</v>
      </c>
      <c r="I66" s="108">
        <v>10093.678299999998</v>
      </c>
      <c r="J66" s="108">
        <v>91581.423800000004</v>
      </c>
      <c r="K66" s="108">
        <v>5104.7235500000006</v>
      </c>
      <c r="L66" s="108">
        <v>24771.1836</v>
      </c>
      <c r="M66" s="108">
        <v>75.411000000000001</v>
      </c>
      <c r="N66" s="108">
        <v>4480.5240000000003</v>
      </c>
      <c r="O66" s="108">
        <v>181.95999999999998</v>
      </c>
      <c r="P66" s="109" t="s">
        <v>168</v>
      </c>
      <c r="Q66" s="108">
        <v>778.16444999999999</v>
      </c>
      <c r="R66" s="108">
        <v>49608</v>
      </c>
      <c r="S66" s="108">
        <v>17392.466950000002</v>
      </c>
      <c r="T66" s="108">
        <v>87572.35834999998</v>
      </c>
      <c r="U66" s="108">
        <v>13465.594500000001</v>
      </c>
      <c r="V66" s="108">
        <v>6527.5101599999998</v>
      </c>
      <c r="W66" s="108">
        <v>1516.8</v>
      </c>
      <c r="X66" s="108">
        <v>45089.817499999997</v>
      </c>
      <c r="Y66" s="108">
        <v>10146.78376</v>
      </c>
      <c r="Z66" s="108">
        <v>9966.5808399999987</v>
      </c>
      <c r="AA66" s="108">
        <v>22696</v>
      </c>
      <c r="AB66" s="108">
        <v>8322.9577399999998</v>
      </c>
      <c r="AC66" s="108">
        <v>86100.850650000008</v>
      </c>
      <c r="AD66" s="108">
        <v>4832.9813099999992</v>
      </c>
      <c r="AE66" s="108">
        <v>7496.423310000001</v>
      </c>
      <c r="AF66" s="156">
        <v>1992.5</v>
      </c>
      <c r="AG66" s="155"/>
      <c r="AH66" s="106"/>
      <c r="AI66" s="106"/>
      <c r="AJ66" s="106"/>
    </row>
    <row r="67" spans="1:36" ht="17.25" customHeight="1" x14ac:dyDescent="0.25">
      <c r="A67" s="123">
        <v>42933</v>
      </c>
      <c r="B67" s="111">
        <v>39351.397679999995</v>
      </c>
      <c r="C67" s="111">
        <v>919.34044999999992</v>
      </c>
      <c r="D67" s="111">
        <v>79243.593400000012</v>
      </c>
      <c r="E67" s="111">
        <v>4191.8755199999996</v>
      </c>
      <c r="F67" s="111">
        <v>30453.853179999998</v>
      </c>
      <c r="G67" s="111">
        <v>7414.9646000000002</v>
      </c>
      <c r="H67" s="111">
        <v>71955.59083999999</v>
      </c>
      <c r="I67" s="111">
        <v>6771.8930499999997</v>
      </c>
      <c r="J67" s="111">
        <v>83594.191199999987</v>
      </c>
      <c r="K67" s="111">
        <v>10317.16656</v>
      </c>
      <c r="L67" s="111">
        <v>25172.18075</v>
      </c>
      <c r="M67" s="111">
        <v>0</v>
      </c>
      <c r="N67" s="111">
        <v>3094.8440000000001</v>
      </c>
      <c r="O67" s="111">
        <v>142.655</v>
      </c>
      <c r="P67" s="112" t="s">
        <v>168</v>
      </c>
      <c r="Q67" s="111">
        <v>4146.4838699999991</v>
      </c>
      <c r="R67" s="111">
        <v>4821.6000000000004</v>
      </c>
      <c r="S67" s="111">
        <v>38396.243209999993</v>
      </c>
      <c r="T67" s="111">
        <v>76809.727079999997</v>
      </c>
      <c r="U67" s="111">
        <v>11908.875180000001</v>
      </c>
      <c r="V67" s="111">
        <v>6468.7285000000002</v>
      </c>
      <c r="W67" s="111">
        <v>3723.75</v>
      </c>
      <c r="X67" s="111">
        <v>26108.045140000002</v>
      </c>
      <c r="Y67" s="111">
        <v>0</v>
      </c>
      <c r="Z67" s="111">
        <v>1051.12806</v>
      </c>
      <c r="AA67" s="111">
        <v>14561.618060000001</v>
      </c>
      <c r="AB67" s="111">
        <v>24335.611600000004</v>
      </c>
      <c r="AC67" s="111">
        <v>78920.691380000004</v>
      </c>
      <c r="AD67" s="111">
        <v>5731.024199999998</v>
      </c>
      <c r="AE67" s="91">
        <v>4411.1232599999994</v>
      </c>
      <c r="AF67" s="158">
        <v>300</v>
      </c>
      <c r="AG67" s="155"/>
      <c r="AH67" s="106"/>
      <c r="AI67" s="106"/>
      <c r="AJ67" s="106"/>
    </row>
    <row r="68" spans="1:36" ht="17.25" customHeight="1" x14ac:dyDescent="0.25">
      <c r="A68" s="123">
        <v>42964</v>
      </c>
      <c r="B68" s="111">
        <v>3298.6179999999999</v>
      </c>
      <c r="C68" s="111">
        <v>637.59857999999997</v>
      </c>
      <c r="D68" s="111">
        <v>30538.440849999999</v>
      </c>
      <c r="E68" s="111">
        <v>159.51732000000001</v>
      </c>
      <c r="F68" s="111">
        <v>27108.573100000001</v>
      </c>
      <c r="G68" s="111">
        <v>2496.7219499999997</v>
      </c>
      <c r="H68" s="111">
        <v>25893.263400000003</v>
      </c>
      <c r="I68" s="111">
        <v>1830.6970000000001</v>
      </c>
      <c r="J68" s="111">
        <v>97185.627299999993</v>
      </c>
      <c r="K68" s="111">
        <v>1648.4848499999998</v>
      </c>
      <c r="L68" s="111">
        <v>17766.904499999997</v>
      </c>
      <c r="M68" s="111">
        <v>199.899</v>
      </c>
      <c r="N68" s="111">
        <v>5228.7599999999993</v>
      </c>
      <c r="O68" s="111">
        <v>60.693750000000001</v>
      </c>
      <c r="P68" s="112" t="s">
        <v>168</v>
      </c>
      <c r="Q68" s="111">
        <v>355.76319999999998</v>
      </c>
      <c r="R68" s="111">
        <v>9489</v>
      </c>
      <c r="S68" s="111">
        <v>19178.449700000001</v>
      </c>
      <c r="T68" s="111">
        <v>77126.375100000019</v>
      </c>
      <c r="U68" s="111">
        <v>5116.7530999999999</v>
      </c>
      <c r="V68" s="111">
        <v>3447.0969999999998</v>
      </c>
      <c r="W68" s="111">
        <v>17.190000000000001</v>
      </c>
      <c r="X68" s="111">
        <v>8489</v>
      </c>
      <c r="Y68" s="111">
        <v>0</v>
      </c>
      <c r="Z68" s="111">
        <v>3182.8539999999998</v>
      </c>
      <c r="AA68" s="111">
        <v>22204</v>
      </c>
      <c r="AB68" s="111">
        <v>1852.3328000000001</v>
      </c>
      <c r="AC68" s="111">
        <v>77586.886100000018</v>
      </c>
      <c r="AD68" s="111">
        <v>30.241000000000003</v>
      </c>
      <c r="AE68" s="111">
        <v>17.202000000000002</v>
      </c>
      <c r="AF68" s="157">
        <v>0</v>
      </c>
      <c r="AG68" s="155"/>
      <c r="AH68" s="106"/>
      <c r="AI68" s="106"/>
      <c r="AJ68" s="106"/>
    </row>
    <row r="69" spans="1:36" ht="17.25" customHeight="1" thickBot="1" x14ac:dyDescent="0.3">
      <c r="A69" s="122">
        <v>42996</v>
      </c>
      <c r="B69" s="108">
        <v>703.11149999999998</v>
      </c>
      <c r="C69" s="108">
        <v>103.46275</v>
      </c>
      <c r="D69" s="108">
        <v>75</v>
      </c>
      <c r="E69" s="108">
        <v>842.02481999999998</v>
      </c>
      <c r="F69" s="108">
        <v>41373.334080000001</v>
      </c>
      <c r="G69" s="108">
        <v>3368.1629999999996</v>
      </c>
      <c r="H69" s="108">
        <v>11167.891629999998</v>
      </c>
      <c r="I69" s="108">
        <v>1901.3123499999999</v>
      </c>
      <c r="J69" s="108">
        <v>15329.57424</v>
      </c>
      <c r="K69" s="108">
        <v>3498.20892</v>
      </c>
      <c r="L69" s="108">
        <v>0</v>
      </c>
      <c r="M69" s="108">
        <v>193.91400000000002</v>
      </c>
      <c r="N69" s="108">
        <v>4651.2</v>
      </c>
      <c r="O69" s="108">
        <v>236.3</v>
      </c>
      <c r="P69" s="109" t="s">
        <v>168</v>
      </c>
      <c r="Q69" s="108">
        <v>1360.64582</v>
      </c>
      <c r="R69" s="108">
        <v>27635</v>
      </c>
      <c r="S69" s="108">
        <v>3787.7253499999997</v>
      </c>
      <c r="T69" s="108">
        <v>11033.754010000001</v>
      </c>
      <c r="U69" s="108">
        <v>1109.6707299999998</v>
      </c>
      <c r="V69" s="108">
        <v>1169.3</v>
      </c>
      <c r="W69" s="108">
        <v>0</v>
      </c>
      <c r="X69" s="108">
        <v>23397.392240000001</v>
      </c>
      <c r="Y69" s="108">
        <v>43916</v>
      </c>
      <c r="Z69" s="108">
        <v>82466.104500000001</v>
      </c>
      <c r="AA69" s="108">
        <v>35400.894560000001</v>
      </c>
      <c r="AB69" s="108">
        <v>80.428449999999998</v>
      </c>
      <c r="AC69" s="108">
        <v>8804.9499500000002</v>
      </c>
      <c r="AD69" s="108">
        <v>348.47230999999999</v>
      </c>
      <c r="AE69" s="108">
        <v>12.675599999999999</v>
      </c>
      <c r="AF69" s="156">
        <v>0</v>
      </c>
      <c r="AG69" s="155"/>
      <c r="AH69" s="106"/>
      <c r="AI69" s="106"/>
      <c r="AJ69" s="106"/>
    </row>
    <row r="70" spans="1:36" ht="17.25" customHeight="1" x14ac:dyDescent="0.25">
      <c r="A70" s="121">
        <v>43025</v>
      </c>
      <c r="B70" s="114">
        <v>205299.24100000001</v>
      </c>
      <c r="C70" s="114">
        <v>353.24250000000001</v>
      </c>
      <c r="D70" s="114">
        <v>50</v>
      </c>
      <c r="E70" s="114">
        <v>2913.0251600000001</v>
      </c>
      <c r="F70" s="114">
        <v>449744.86807999999</v>
      </c>
      <c r="G70" s="114">
        <v>2229.8874999999998</v>
      </c>
      <c r="H70" s="114">
        <v>32663.981899999999</v>
      </c>
      <c r="I70" s="114">
        <v>4801.173600000001</v>
      </c>
      <c r="J70" s="114">
        <v>79363.762200000026</v>
      </c>
      <c r="K70" s="114">
        <v>6984.8457700000008</v>
      </c>
      <c r="L70" s="114">
        <v>8034.25468</v>
      </c>
      <c r="M70" s="114">
        <v>260.04825</v>
      </c>
      <c r="N70" s="114">
        <v>18648.059599999997</v>
      </c>
      <c r="O70" s="114">
        <v>619.65750000000003</v>
      </c>
      <c r="P70" s="115" t="s">
        <v>168</v>
      </c>
      <c r="Q70" s="114">
        <v>1792.4651199999998</v>
      </c>
      <c r="R70" s="114">
        <v>129452.485</v>
      </c>
      <c r="S70" s="114">
        <v>52451.278960000018</v>
      </c>
      <c r="T70" s="114">
        <v>110321.55324000004</v>
      </c>
      <c r="U70" s="114">
        <v>4876.4503599999998</v>
      </c>
      <c r="V70" s="114">
        <v>7846.6957999999995</v>
      </c>
      <c r="W70" s="114">
        <v>42516.908200000005</v>
      </c>
      <c r="X70" s="114">
        <v>107344.37819</v>
      </c>
      <c r="Y70" s="114">
        <v>106804</v>
      </c>
      <c r="Z70" s="114">
        <v>172986.84899999999</v>
      </c>
      <c r="AA70" s="114">
        <v>177113.89455999999</v>
      </c>
      <c r="AB70" s="114">
        <v>1246.3989000000001</v>
      </c>
      <c r="AC70" s="114">
        <v>92136.046480000019</v>
      </c>
      <c r="AD70" s="114">
        <v>2233.9746199999995</v>
      </c>
      <c r="AE70" s="91">
        <v>34.744600000000005</v>
      </c>
      <c r="AF70" s="158">
        <v>0</v>
      </c>
      <c r="AG70" s="155"/>
      <c r="AH70" s="106"/>
      <c r="AI70" s="106"/>
    </row>
    <row r="71" spans="1:36" ht="17.25" customHeight="1" x14ac:dyDescent="0.25">
      <c r="A71" s="120">
        <v>43056</v>
      </c>
      <c r="B71" s="111">
        <v>54.961600000000018</v>
      </c>
      <c r="C71" s="111">
        <v>115.61275000000001</v>
      </c>
      <c r="D71" s="111">
        <v>25</v>
      </c>
      <c r="E71" s="111">
        <v>3118.93271</v>
      </c>
      <c r="F71" s="111">
        <v>541083.85</v>
      </c>
      <c r="G71" s="111">
        <v>4738.7875599999998</v>
      </c>
      <c r="H71" s="111">
        <v>30456.459649999997</v>
      </c>
      <c r="I71" s="111">
        <v>1174.95982</v>
      </c>
      <c r="J71" s="111">
        <v>60534.281940000001</v>
      </c>
      <c r="K71" s="111">
        <v>4709.8768</v>
      </c>
      <c r="L71" s="111">
        <v>19945.444459999999</v>
      </c>
      <c r="M71" s="111">
        <v>637.65480000000002</v>
      </c>
      <c r="N71" s="111">
        <v>12366.4889</v>
      </c>
      <c r="O71" s="111">
        <v>516.57000000000005</v>
      </c>
      <c r="P71" s="112" t="s">
        <v>168</v>
      </c>
      <c r="Q71" s="111">
        <v>1103.1380799999999</v>
      </c>
      <c r="R71" s="111">
        <v>163393</v>
      </c>
      <c r="S71" s="111">
        <v>5903.6039899999996</v>
      </c>
      <c r="T71" s="111">
        <v>48271.570629999995</v>
      </c>
      <c r="U71" s="111">
        <v>4379.5582600000007</v>
      </c>
      <c r="V71" s="111">
        <v>5528.9175000000005</v>
      </c>
      <c r="W71" s="111">
        <v>65449.919999999998</v>
      </c>
      <c r="X71" s="111">
        <v>112573.5</v>
      </c>
      <c r="Y71" s="111">
        <v>169332</v>
      </c>
      <c r="Z71" s="111">
        <v>230478</v>
      </c>
      <c r="AA71" s="111">
        <v>224892.66099999999</v>
      </c>
      <c r="AB71" s="111">
        <v>1040.6840999999999</v>
      </c>
      <c r="AC71" s="111">
        <v>46441.429790000009</v>
      </c>
      <c r="AD71" s="111">
        <v>358.93779999999998</v>
      </c>
      <c r="AE71" s="111">
        <v>200.78559999999999</v>
      </c>
      <c r="AF71" s="157">
        <v>0</v>
      </c>
      <c r="AG71" s="155"/>
      <c r="AH71" s="106"/>
      <c r="AI71" s="106"/>
    </row>
    <row r="72" spans="1:36" ht="17.25" customHeight="1" thickBot="1" x14ac:dyDescent="0.3">
      <c r="A72" s="119">
        <v>43086</v>
      </c>
      <c r="B72" s="108">
        <v>1025.2542000000001</v>
      </c>
      <c r="C72" s="108">
        <v>22176.351979999996</v>
      </c>
      <c r="D72" s="108">
        <v>0</v>
      </c>
      <c r="E72" s="108">
        <v>2502.7433600000004</v>
      </c>
      <c r="F72" s="108">
        <v>472773.99215000001</v>
      </c>
      <c r="G72" s="108">
        <v>10661.858040000003</v>
      </c>
      <c r="H72" s="108">
        <v>10689.3778</v>
      </c>
      <c r="I72" s="108">
        <v>3076.8866800000001</v>
      </c>
      <c r="J72" s="108">
        <v>71973.572120000012</v>
      </c>
      <c r="K72" s="108">
        <v>2338.8200600000005</v>
      </c>
      <c r="L72" s="108">
        <v>23530.524679999995</v>
      </c>
      <c r="M72" s="108">
        <v>0</v>
      </c>
      <c r="N72" s="108">
        <v>24637.636709999999</v>
      </c>
      <c r="O72" s="108">
        <v>148.69999999999999</v>
      </c>
      <c r="P72" s="109" t="s">
        <v>168</v>
      </c>
      <c r="Q72" s="108">
        <v>436.40440000000001</v>
      </c>
      <c r="R72" s="108">
        <v>159642</v>
      </c>
      <c r="S72" s="108">
        <v>5680.2000800000005</v>
      </c>
      <c r="T72" s="108">
        <v>39537.59145</v>
      </c>
      <c r="U72" s="108">
        <v>8511.5566999999992</v>
      </c>
      <c r="V72" s="108">
        <v>10762.2075</v>
      </c>
      <c r="W72" s="108">
        <v>52297.999999999993</v>
      </c>
      <c r="X72" s="108">
        <v>86784.5</v>
      </c>
      <c r="Y72" s="108">
        <v>182868</v>
      </c>
      <c r="Z72" s="108">
        <v>171414.66821999999</v>
      </c>
      <c r="AA72" s="108">
        <v>197374</v>
      </c>
      <c r="AB72" s="108">
        <v>2733.8825000000002</v>
      </c>
      <c r="AC72" s="108">
        <v>85726.218649999995</v>
      </c>
      <c r="AD72" s="108">
        <v>6173.9646599999996</v>
      </c>
      <c r="AE72" s="108">
        <v>284.72461999999996</v>
      </c>
      <c r="AF72" s="156">
        <v>0</v>
      </c>
      <c r="AG72" s="155"/>
      <c r="AH72" s="106"/>
      <c r="AI72" s="106"/>
    </row>
    <row r="73" spans="1:36" ht="17.25" customHeight="1" x14ac:dyDescent="0.25">
      <c r="A73" s="118">
        <v>43118</v>
      </c>
      <c r="B73" s="114">
        <v>4481.7387399999998</v>
      </c>
      <c r="C73" s="114">
        <v>569.57590000000005</v>
      </c>
      <c r="D73" s="114">
        <v>1612.296</v>
      </c>
      <c r="E73" s="114">
        <v>3371.9772899999998</v>
      </c>
      <c r="F73" s="114">
        <v>438040.67968</v>
      </c>
      <c r="G73" s="114">
        <v>5986.7633999999998</v>
      </c>
      <c r="H73" s="114">
        <v>43955.296180000005</v>
      </c>
      <c r="I73" s="114">
        <v>5233.8929999999991</v>
      </c>
      <c r="J73" s="114">
        <v>28440.048799999997</v>
      </c>
      <c r="K73" s="114">
        <v>5438.1084999999975</v>
      </c>
      <c r="L73" s="114">
        <v>15085.154159999998</v>
      </c>
      <c r="M73" s="114">
        <v>152.61750000000029</v>
      </c>
      <c r="N73" s="114">
        <v>2712.2654599999996</v>
      </c>
      <c r="O73" s="114">
        <v>383.75200000000007</v>
      </c>
      <c r="P73" s="115" t="s">
        <v>168</v>
      </c>
      <c r="Q73" s="114">
        <v>331.68299999999999</v>
      </c>
      <c r="R73" s="114">
        <v>147833.20000000001</v>
      </c>
      <c r="S73" s="114">
        <v>17613.31106</v>
      </c>
      <c r="T73" s="114">
        <v>23504.85052</v>
      </c>
      <c r="U73" s="114">
        <v>4688.9642000000013</v>
      </c>
      <c r="V73" s="114">
        <v>9457.0639599999995</v>
      </c>
      <c r="W73" s="114">
        <v>47381.039999999994</v>
      </c>
      <c r="X73" s="114">
        <v>87421.847999999998</v>
      </c>
      <c r="Y73" s="114">
        <v>76568</v>
      </c>
      <c r="Z73" s="114">
        <v>154572.27565999998</v>
      </c>
      <c r="AA73" s="114">
        <v>132080.30556000001</v>
      </c>
      <c r="AB73" s="114">
        <v>4784.3590999999997</v>
      </c>
      <c r="AC73" s="114">
        <v>23430.289880000004</v>
      </c>
      <c r="AD73" s="114">
        <v>1145.28865</v>
      </c>
      <c r="AE73" s="91">
        <v>835.20607999999993</v>
      </c>
      <c r="AF73" s="158">
        <v>0</v>
      </c>
      <c r="AG73" s="155"/>
      <c r="AH73" s="106"/>
      <c r="AI73" s="106"/>
    </row>
    <row r="74" spans="1:36" ht="17.25" customHeight="1" x14ac:dyDescent="0.25">
      <c r="A74" s="117">
        <v>43149</v>
      </c>
      <c r="B74" s="111">
        <v>59476.542440000005</v>
      </c>
      <c r="C74" s="111">
        <v>17182.99468</v>
      </c>
      <c r="D74" s="111">
        <v>1706.5</v>
      </c>
      <c r="E74" s="111">
        <v>15489.12057000001</v>
      </c>
      <c r="F74" s="111">
        <v>454189.59805000003</v>
      </c>
      <c r="G74" s="111">
        <v>7376.0789000000004</v>
      </c>
      <c r="H74" s="111">
        <v>75088.024400000009</v>
      </c>
      <c r="I74" s="111">
        <v>12662.5996</v>
      </c>
      <c r="J74" s="111">
        <v>235326.89414999995</v>
      </c>
      <c r="K74" s="111">
        <v>11059.70206</v>
      </c>
      <c r="L74" s="111">
        <v>17435.471700000002</v>
      </c>
      <c r="M74" s="111">
        <v>0</v>
      </c>
      <c r="N74" s="111">
        <v>5360.3472500000007</v>
      </c>
      <c r="O74" s="111">
        <v>989.97199999999998</v>
      </c>
      <c r="P74" s="112" t="s">
        <v>168</v>
      </c>
      <c r="Q74" s="111">
        <v>1064.7950000000001</v>
      </c>
      <c r="R74" s="111">
        <v>136463</v>
      </c>
      <c r="S74" s="111">
        <v>55992.074749999985</v>
      </c>
      <c r="T74" s="111">
        <v>150774.86235000001</v>
      </c>
      <c r="U74" s="111">
        <v>9358.5942500000001</v>
      </c>
      <c r="V74" s="111">
        <v>15931.366910000001</v>
      </c>
      <c r="W74" s="111">
        <v>43284.39</v>
      </c>
      <c r="X74" s="111">
        <v>87064.498500000002</v>
      </c>
      <c r="Y74" s="111">
        <v>142047.04876000001</v>
      </c>
      <c r="Z74" s="111">
        <v>141777.81479</v>
      </c>
      <c r="AA74" s="111">
        <v>129293.75</v>
      </c>
      <c r="AB74" s="111">
        <v>5280.9278400000003</v>
      </c>
      <c r="AC74" s="111">
        <v>132681.32605000003</v>
      </c>
      <c r="AD74" s="111">
        <v>4480.133960000001</v>
      </c>
      <c r="AE74" s="111">
        <v>6738.0530599999993</v>
      </c>
      <c r="AF74" s="157">
        <v>968.5</v>
      </c>
      <c r="AG74" s="155"/>
      <c r="AH74" s="106"/>
      <c r="AI74" s="106"/>
    </row>
    <row r="75" spans="1:36" ht="17.25" customHeight="1" thickBot="1" x14ac:dyDescent="0.3">
      <c r="A75" s="116">
        <v>43177</v>
      </c>
      <c r="B75" s="108">
        <v>50579.285919999995</v>
      </c>
      <c r="C75" s="108">
        <v>24310.732099999997</v>
      </c>
      <c r="D75" s="108">
        <v>15011.539799999999</v>
      </c>
      <c r="E75" s="108">
        <v>4787.32485</v>
      </c>
      <c r="F75" s="108">
        <v>287066.5148</v>
      </c>
      <c r="G75" s="108">
        <v>8946.1154000000006</v>
      </c>
      <c r="H75" s="108">
        <v>96401.690199999983</v>
      </c>
      <c r="I75" s="108">
        <v>10478.525700000002</v>
      </c>
      <c r="J75" s="108">
        <v>214234.9632</v>
      </c>
      <c r="K75" s="108">
        <v>14487.27303</v>
      </c>
      <c r="L75" s="108">
        <v>15624.747529999999</v>
      </c>
      <c r="M75" s="108">
        <v>302.24250000000001</v>
      </c>
      <c r="N75" s="108">
        <v>2261.6408000000001</v>
      </c>
      <c r="O75" s="108">
        <v>1366.9275</v>
      </c>
      <c r="P75" s="109" t="s">
        <v>168</v>
      </c>
      <c r="Q75" s="108">
        <v>1910.5408600000001</v>
      </c>
      <c r="R75" s="108">
        <v>98032</v>
      </c>
      <c r="S75" s="108">
        <v>42042.331479999993</v>
      </c>
      <c r="T75" s="108">
        <v>157585.63090000005</v>
      </c>
      <c r="U75" s="108">
        <v>26749.518189999999</v>
      </c>
      <c r="V75" s="108">
        <v>13870.726360000004</v>
      </c>
      <c r="W75" s="108">
        <v>12608.4</v>
      </c>
      <c r="X75" s="108">
        <v>70734.50056</v>
      </c>
      <c r="Y75" s="108">
        <v>90891.479659999997</v>
      </c>
      <c r="Z75" s="108">
        <v>78656.542000000001</v>
      </c>
      <c r="AA75" s="108">
        <v>207857.04149999999</v>
      </c>
      <c r="AB75" s="108">
        <v>5716.9115600000005</v>
      </c>
      <c r="AC75" s="108">
        <v>167617.75590000002</v>
      </c>
      <c r="AD75" s="108">
        <v>9733.2693100000015</v>
      </c>
      <c r="AE75" s="108">
        <v>4754.2614999999996</v>
      </c>
      <c r="AF75" s="156">
        <v>1772.3</v>
      </c>
      <c r="AG75" s="155"/>
      <c r="AH75" s="106"/>
      <c r="AI75" s="106"/>
    </row>
    <row r="76" spans="1:36" ht="17.25" customHeight="1" x14ac:dyDescent="0.25">
      <c r="A76" s="113">
        <v>43208</v>
      </c>
      <c r="B76" s="114">
        <v>4993.6290999999992</v>
      </c>
      <c r="C76" s="114">
        <v>929.26144999999997</v>
      </c>
      <c r="D76" s="114">
        <v>16733.965500000002</v>
      </c>
      <c r="E76" s="114">
        <v>7169.968859999999</v>
      </c>
      <c r="F76" s="114">
        <v>349139.52648</v>
      </c>
      <c r="G76" s="114">
        <v>7053.1778000000004</v>
      </c>
      <c r="H76" s="114">
        <v>68719.636050000001</v>
      </c>
      <c r="I76" s="114">
        <v>6611.1976500000001</v>
      </c>
      <c r="J76" s="114">
        <v>133371.40459999998</v>
      </c>
      <c r="K76" s="114">
        <v>6317.7964000000002</v>
      </c>
      <c r="L76" s="114">
        <v>7728.0239099999999</v>
      </c>
      <c r="M76" s="114">
        <v>-1318.7637</v>
      </c>
      <c r="N76" s="114">
        <v>16640.326160000001</v>
      </c>
      <c r="O76" s="114">
        <v>523.02</v>
      </c>
      <c r="P76" s="115" t="s">
        <v>168</v>
      </c>
      <c r="Q76" s="114">
        <v>2750.5373599999998</v>
      </c>
      <c r="R76" s="114">
        <v>81341.600000000006</v>
      </c>
      <c r="S76" s="114">
        <v>40978.835809999997</v>
      </c>
      <c r="T76" s="114">
        <v>164017.96823</v>
      </c>
      <c r="U76" s="114">
        <v>4407.7156999999988</v>
      </c>
      <c r="V76" s="114">
        <v>8176.4472000000005</v>
      </c>
      <c r="W76" s="114">
        <v>14163.682000000003</v>
      </c>
      <c r="X76" s="114">
        <v>45809.0795</v>
      </c>
      <c r="Y76" s="114">
        <v>136984</v>
      </c>
      <c r="Z76" s="114">
        <v>126426.32206000001</v>
      </c>
      <c r="AA76" s="114">
        <v>264533.59856000001</v>
      </c>
      <c r="AB76" s="114">
        <v>9171.1072399999975</v>
      </c>
      <c r="AC76" s="114">
        <v>164001.42403000002</v>
      </c>
      <c r="AD76" s="114">
        <v>1372.4259</v>
      </c>
      <c r="AE76" s="91">
        <v>383.72025999999994</v>
      </c>
      <c r="AF76" s="158">
        <v>0</v>
      </c>
      <c r="AG76" s="155"/>
      <c r="AH76" s="106"/>
      <c r="AI76" s="106"/>
    </row>
    <row r="77" spans="1:36" ht="17.25" customHeight="1" x14ac:dyDescent="0.25">
      <c r="A77" s="110">
        <v>43238</v>
      </c>
      <c r="B77" s="111">
        <v>692.71910000000003</v>
      </c>
      <c r="C77" s="111">
        <v>7510.0019400000019</v>
      </c>
      <c r="D77" s="111">
        <v>34398.374800000005</v>
      </c>
      <c r="E77" s="111">
        <v>6158.0225400000008</v>
      </c>
      <c r="F77" s="111">
        <v>212200.29916</v>
      </c>
      <c r="G77" s="111">
        <v>10452.4018</v>
      </c>
      <c r="H77" s="111">
        <v>86488.463219999991</v>
      </c>
      <c r="I77" s="111">
        <v>12608.29413</v>
      </c>
      <c r="J77" s="111">
        <v>169728.16179999994</v>
      </c>
      <c r="K77" s="111">
        <v>5737.6012000000001</v>
      </c>
      <c r="L77" s="111">
        <v>518.77530000000002</v>
      </c>
      <c r="M77" s="111">
        <v>449.625</v>
      </c>
      <c r="N77" s="111">
        <v>8473.5522000000001</v>
      </c>
      <c r="O77" s="111">
        <v>858.7650000000001</v>
      </c>
      <c r="P77" s="112" t="s">
        <v>168</v>
      </c>
      <c r="Q77" s="111">
        <v>2447.0412200000001</v>
      </c>
      <c r="R77" s="111">
        <v>46941</v>
      </c>
      <c r="S77" s="111">
        <v>30238.926619999998</v>
      </c>
      <c r="T77" s="111">
        <v>118464.65004000002</v>
      </c>
      <c r="U77" s="111">
        <v>11975.13206</v>
      </c>
      <c r="V77" s="111">
        <v>12389.371810000001</v>
      </c>
      <c r="W77" s="111">
        <v>12671.600000000002</v>
      </c>
      <c r="X77" s="111">
        <v>20514.157080000001</v>
      </c>
      <c r="Y77" s="111">
        <v>70782.479659999997</v>
      </c>
      <c r="Z77" s="111">
        <v>106400.34455000001</v>
      </c>
      <c r="AA77" s="111">
        <v>144763.09992000001</v>
      </c>
      <c r="AB77" s="111">
        <v>1100.34629</v>
      </c>
      <c r="AC77" s="111">
        <v>71649.836660000001</v>
      </c>
      <c r="AD77" s="111">
        <v>6514.4418800000003</v>
      </c>
      <c r="AE77" s="111">
        <v>205.27137000000002</v>
      </c>
      <c r="AF77" s="157">
        <v>0</v>
      </c>
      <c r="AG77" s="155"/>
      <c r="AH77" s="106"/>
      <c r="AI77" s="106"/>
    </row>
    <row r="78" spans="1:36" ht="17.25" customHeight="1" thickBot="1" x14ac:dyDescent="0.3">
      <c r="A78" s="107">
        <v>43269</v>
      </c>
      <c r="B78" s="108">
        <v>31538.634600000001</v>
      </c>
      <c r="C78" s="108">
        <v>803.27015999999992</v>
      </c>
      <c r="D78" s="108">
        <v>70828.963099999994</v>
      </c>
      <c r="E78" s="108">
        <v>4991.8966499999997</v>
      </c>
      <c r="F78" s="108">
        <v>31883.480599999995</v>
      </c>
      <c r="G78" s="108">
        <v>2510.2282</v>
      </c>
      <c r="H78" s="108">
        <v>58026.80717</v>
      </c>
      <c r="I78" s="108">
        <v>6497.3402499999993</v>
      </c>
      <c r="J78" s="108">
        <v>100281.42444</v>
      </c>
      <c r="K78" s="108">
        <v>12279.76686</v>
      </c>
      <c r="L78" s="108">
        <v>10820.55</v>
      </c>
      <c r="M78" s="108">
        <v>63.441000000000003</v>
      </c>
      <c r="N78" s="108">
        <v>6916.8701000000001</v>
      </c>
      <c r="O78" s="108">
        <v>1038.4574999999998</v>
      </c>
      <c r="P78" s="109" t="s">
        <v>168</v>
      </c>
      <c r="Q78" s="108">
        <v>2017.0038000000002</v>
      </c>
      <c r="R78" s="108">
        <v>7401</v>
      </c>
      <c r="S78" s="108">
        <v>31523.340939999998</v>
      </c>
      <c r="T78" s="108">
        <v>75408.765339999998</v>
      </c>
      <c r="U78" s="108">
        <v>5361.3087000000005</v>
      </c>
      <c r="V78" s="108">
        <v>5542.9663</v>
      </c>
      <c r="W78" s="108">
        <v>1516.8</v>
      </c>
      <c r="X78" s="108">
        <v>21508.9944</v>
      </c>
      <c r="Y78" s="108">
        <v>0</v>
      </c>
      <c r="Z78" s="108">
        <v>8430.967560000001</v>
      </c>
      <c r="AA78" s="108">
        <v>16640</v>
      </c>
      <c r="AB78" s="108">
        <v>10440.412070000002</v>
      </c>
      <c r="AC78" s="108">
        <v>66618.392219999994</v>
      </c>
      <c r="AD78" s="108">
        <v>4803.2858200000001</v>
      </c>
      <c r="AE78" s="108">
        <v>644.01135999999997</v>
      </c>
      <c r="AF78" s="156">
        <v>0</v>
      </c>
      <c r="AG78" s="155"/>
      <c r="AH78" s="106"/>
      <c r="AI78" s="106"/>
    </row>
    <row r="79" spans="1:36" ht="17.25" customHeight="1" x14ac:dyDescent="0.25">
      <c r="A79" s="123">
        <v>43299</v>
      </c>
      <c r="B79" s="111">
        <v>8736.5953000000009</v>
      </c>
      <c r="C79" s="111">
        <v>745.13857999999993</v>
      </c>
      <c r="D79" s="111">
        <v>110898.4688</v>
      </c>
      <c r="E79" s="111">
        <v>1500.4429599999999</v>
      </c>
      <c r="F79" s="111">
        <v>15230.0476</v>
      </c>
      <c r="G79" s="111">
        <v>2791.5537999999997</v>
      </c>
      <c r="H79" s="111">
        <v>52585.131119999984</v>
      </c>
      <c r="I79" s="111">
        <v>3044.6792999999998</v>
      </c>
      <c r="J79" s="111">
        <v>93804.399600000004</v>
      </c>
      <c r="K79" s="111">
        <v>8353.3395999999993</v>
      </c>
      <c r="L79" s="111">
        <v>0</v>
      </c>
      <c r="M79" s="111">
        <v>511.4205</v>
      </c>
      <c r="N79" s="111">
        <v>5053.7439999999997</v>
      </c>
      <c r="O79" s="111">
        <v>1565.58</v>
      </c>
      <c r="P79" s="112" t="s">
        <v>168</v>
      </c>
      <c r="Q79" s="111">
        <v>1563.626</v>
      </c>
      <c r="R79" s="111">
        <v>12554.455399999999</v>
      </c>
      <c r="S79" s="111">
        <v>19467.366300000002</v>
      </c>
      <c r="T79" s="111">
        <v>69078.580900000001</v>
      </c>
      <c r="U79" s="111">
        <v>7550.3179500000015</v>
      </c>
      <c r="V79" s="111">
        <v>3231.848</v>
      </c>
      <c r="W79" s="111">
        <v>6730.8</v>
      </c>
      <c r="X79" s="111">
        <v>7744.6157600000006</v>
      </c>
      <c r="Y79" s="111">
        <v>0</v>
      </c>
      <c r="Z79" s="111">
        <v>5299.3339999999998</v>
      </c>
      <c r="AA79" s="111">
        <v>23400.839909999999</v>
      </c>
      <c r="AB79" s="111">
        <v>24913.60515000001</v>
      </c>
      <c r="AC79" s="111">
        <v>115023.43040000001</v>
      </c>
      <c r="AD79" s="111">
        <v>3098.3985500000003</v>
      </c>
      <c r="AE79" s="91">
        <v>1145.9644000000001</v>
      </c>
      <c r="AF79" s="158">
        <v>0</v>
      </c>
      <c r="AG79" s="155"/>
      <c r="AH79" s="106"/>
      <c r="AI79" s="159"/>
    </row>
    <row r="80" spans="1:36" ht="17.25" customHeight="1" x14ac:dyDescent="0.25">
      <c r="A80" s="123">
        <v>43330</v>
      </c>
      <c r="B80" s="111">
        <v>6563.2491</v>
      </c>
      <c r="C80" s="111">
        <v>245.85000000000002</v>
      </c>
      <c r="D80" s="111">
        <v>90</v>
      </c>
      <c r="E80" s="111">
        <v>636.37407000000007</v>
      </c>
      <c r="F80" s="111">
        <v>4758</v>
      </c>
      <c r="G80" s="111">
        <v>383.43</v>
      </c>
      <c r="H80" s="111">
        <v>23882.943719999999</v>
      </c>
      <c r="I80" s="111">
        <v>2260.7019999999998</v>
      </c>
      <c r="J80" s="111">
        <v>122061.54115999998</v>
      </c>
      <c r="K80" s="111">
        <v>1883.8816999999995</v>
      </c>
      <c r="L80" s="111">
        <v>38.552999999999997</v>
      </c>
      <c r="M80" s="111">
        <v>0</v>
      </c>
      <c r="N80" s="111">
        <v>8340.8691999999992</v>
      </c>
      <c r="O80" s="111">
        <v>259.62</v>
      </c>
      <c r="P80" s="111">
        <v>13750</v>
      </c>
      <c r="Q80" s="111">
        <v>263.81790000000001</v>
      </c>
      <c r="R80" s="111">
        <v>30506.2</v>
      </c>
      <c r="S80" s="111">
        <v>18688.764999999999</v>
      </c>
      <c r="T80" s="111">
        <v>55325.565119999999</v>
      </c>
      <c r="U80" s="111">
        <v>3308.2661000000003</v>
      </c>
      <c r="V80" s="111">
        <v>1108.1917000000001</v>
      </c>
      <c r="W80" s="111">
        <v>0</v>
      </c>
      <c r="X80" s="111">
        <v>6396</v>
      </c>
      <c r="Y80" s="111">
        <v>0</v>
      </c>
      <c r="Z80" s="111">
        <v>6479.7488599999997</v>
      </c>
      <c r="AA80" s="111">
        <v>63831.985000000001</v>
      </c>
      <c r="AB80" s="111">
        <v>1018.9805</v>
      </c>
      <c r="AC80" s="111">
        <v>75498.252660000013</v>
      </c>
      <c r="AD80" s="111">
        <v>1865.0622500000002</v>
      </c>
      <c r="AE80" s="111">
        <v>417.14006000000001</v>
      </c>
      <c r="AF80" s="157">
        <v>0</v>
      </c>
      <c r="AG80" s="155"/>
      <c r="AH80" s="106"/>
      <c r="AI80" s="106"/>
    </row>
    <row r="81" spans="1:35" ht="17.25" customHeight="1" thickBot="1" x14ac:dyDescent="0.3">
      <c r="A81" s="122">
        <v>43361</v>
      </c>
      <c r="B81" s="108">
        <v>12050.906000000001</v>
      </c>
      <c r="C81" s="108">
        <v>186.5985</v>
      </c>
      <c r="D81" s="108">
        <v>28</v>
      </c>
      <c r="E81" s="108">
        <v>343.86760000000004</v>
      </c>
      <c r="F81" s="108">
        <v>85676.59</v>
      </c>
      <c r="G81" s="108">
        <v>332</v>
      </c>
      <c r="H81" s="108">
        <v>31813.267800000009</v>
      </c>
      <c r="I81" s="108">
        <v>3254.1600000000003</v>
      </c>
      <c r="J81" s="108">
        <v>92430.914999999979</v>
      </c>
      <c r="K81" s="108">
        <v>6866.787049999999</v>
      </c>
      <c r="L81" s="108">
        <v>334.12139999999999</v>
      </c>
      <c r="M81" s="108">
        <v>150.822</v>
      </c>
      <c r="N81" s="108">
        <v>1468.8</v>
      </c>
      <c r="O81" s="108">
        <v>1895.7925</v>
      </c>
      <c r="P81" s="109" t="s">
        <v>168</v>
      </c>
      <c r="Q81" s="108">
        <v>881.99545000000001</v>
      </c>
      <c r="R81" s="108">
        <v>37249</v>
      </c>
      <c r="S81" s="108">
        <v>10476.644649999998</v>
      </c>
      <c r="T81" s="108">
        <v>68765.122250000015</v>
      </c>
      <c r="U81" s="108">
        <v>5463.9422200000008</v>
      </c>
      <c r="V81" s="108">
        <v>3009.348</v>
      </c>
      <c r="W81" s="108">
        <v>3779.6409999999996</v>
      </c>
      <c r="X81" s="108">
        <v>37465.165399999998</v>
      </c>
      <c r="Y81" s="108">
        <v>50000</v>
      </c>
      <c r="Z81" s="108">
        <v>92195.400529999999</v>
      </c>
      <c r="AA81" s="108">
        <v>44358.310799999999</v>
      </c>
      <c r="AB81" s="108">
        <v>218.1275</v>
      </c>
      <c r="AC81" s="108">
        <v>83278.182550000012</v>
      </c>
      <c r="AD81" s="108">
        <v>608.32175999999993</v>
      </c>
      <c r="AE81" s="108">
        <v>56.153300000000002</v>
      </c>
      <c r="AF81" s="156">
        <v>0</v>
      </c>
      <c r="AG81" s="155"/>
      <c r="AH81" s="106"/>
      <c r="AI81" s="106"/>
    </row>
    <row r="82" spans="1:35" ht="17.25" customHeight="1" x14ac:dyDescent="0.25">
      <c r="A82" s="121">
        <v>43391</v>
      </c>
      <c r="B82" s="114">
        <v>482.44600000000003</v>
      </c>
      <c r="C82" s="114">
        <v>244.76400000000001</v>
      </c>
      <c r="D82" s="114">
        <v>50</v>
      </c>
      <c r="E82" s="114">
        <v>3008.0086500000002</v>
      </c>
      <c r="F82" s="114">
        <v>485105.23800000001</v>
      </c>
      <c r="G82" s="114">
        <v>5948.24</v>
      </c>
      <c r="H82" s="114">
        <v>26366.281060000001</v>
      </c>
      <c r="I82" s="114">
        <v>11922.386349999999</v>
      </c>
      <c r="J82" s="114">
        <v>139051.25271999996</v>
      </c>
      <c r="K82" s="114">
        <v>980.24610999999993</v>
      </c>
      <c r="L82" s="114">
        <v>5427.7491600000003</v>
      </c>
      <c r="M82" s="114">
        <v>75.411000000000001</v>
      </c>
      <c r="N82" s="114">
        <v>23218.371199999998</v>
      </c>
      <c r="O82" s="114">
        <v>-26289.127500000002</v>
      </c>
      <c r="P82" s="115" t="s">
        <v>168</v>
      </c>
      <c r="Q82" s="114">
        <v>1691.1124499999999</v>
      </c>
      <c r="R82" s="114">
        <v>127193.4</v>
      </c>
      <c r="S82" s="114">
        <v>14829.3164</v>
      </c>
      <c r="T82" s="114">
        <v>107364.43316000002</v>
      </c>
      <c r="U82" s="114">
        <v>2772.0570199999997</v>
      </c>
      <c r="V82" s="114">
        <v>8629.4873999999982</v>
      </c>
      <c r="W82" s="114">
        <v>36557.435799999999</v>
      </c>
      <c r="X82" s="114">
        <v>102094.8918</v>
      </c>
      <c r="Y82" s="114">
        <v>81029.463400000008</v>
      </c>
      <c r="Z82" s="114">
        <v>209563.40906000001</v>
      </c>
      <c r="AA82" s="114">
        <v>163815</v>
      </c>
      <c r="AB82" s="114">
        <v>877.98524999999995</v>
      </c>
      <c r="AC82" s="114">
        <v>99591.502920000014</v>
      </c>
      <c r="AD82" s="114">
        <v>876.23590999999999</v>
      </c>
      <c r="AE82" s="91">
        <v>186.68456</v>
      </c>
      <c r="AF82" s="158">
        <v>0</v>
      </c>
      <c r="AG82" s="155"/>
      <c r="AH82" s="106"/>
      <c r="AI82" s="106"/>
    </row>
    <row r="83" spans="1:35" ht="17.25" customHeight="1" x14ac:dyDescent="0.25">
      <c r="A83" s="120">
        <v>43422</v>
      </c>
      <c r="B83" s="111">
        <v>0</v>
      </c>
      <c r="C83" s="111">
        <v>245.77959999999999</v>
      </c>
      <c r="D83" s="111">
        <v>0</v>
      </c>
      <c r="E83" s="111">
        <v>1914.4435000000001</v>
      </c>
      <c r="F83" s="111">
        <v>538928.58648000006</v>
      </c>
      <c r="G83" s="111">
        <v>4322.55</v>
      </c>
      <c r="H83" s="111">
        <v>20841.92568</v>
      </c>
      <c r="I83" s="111">
        <v>1518.4126000000001</v>
      </c>
      <c r="J83" s="111">
        <v>81963.464399999983</v>
      </c>
      <c r="K83" s="111">
        <v>3745.4215599999998</v>
      </c>
      <c r="L83" s="111">
        <v>6821.9852799999999</v>
      </c>
      <c r="M83" s="111">
        <v>-2349.1779999999999</v>
      </c>
      <c r="N83" s="111">
        <v>15064.171299999998</v>
      </c>
      <c r="O83" s="111">
        <v>1061.01</v>
      </c>
      <c r="P83" s="112" t="s">
        <v>168</v>
      </c>
      <c r="Q83" s="111">
        <v>1653.5467599999997</v>
      </c>
      <c r="R83" s="111">
        <v>161129</v>
      </c>
      <c r="S83" s="111">
        <v>12461.94392</v>
      </c>
      <c r="T83" s="111">
        <v>51094.174820000007</v>
      </c>
      <c r="U83" s="111">
        <v>3477.7017000000005</v>
      </c>
      <c r="V83" s="111">
        <v>4029.8312599999999</v>
      </c>
      <c r="W83" s="111">
        <v>46392.080999999998</v>
      </c>
      <c r="X83" s="111">
        <v>116267.57029999999</v>
      </c>
      <c r="Y83" s="111">
        <v>154430.47966000001</v>
      </c>
      <c r="Z83" s="111">
        <v>248872.75099999999</v>
      </c>
      <c r="AA83" s="111">
        <v>193388.89455999999</v>
      </c>
      <c r="AB83" s="111">
        <v>4495.31844</v>
      </c>
      <c r="AC83" s="111">
        <v>48641.347080000014</v>
      </c>
      <c r="AD83" s="111">
        <v>671.97146000000021</v>
      </c>
      <c r="AE83" s="111">
        <v>161.93170000000001</v>
      </c>
      <c r="AF83" s="157">
        <v>0</v>
      </c>
      <c r="AG83" s="155"/>
      <c r="AH83" s="106"/>
      <c r="AI83" s="106"/>
    </row>
    <row r="84" spans="1:35" ht="17.25" customHeight="1" thickBot="1" x14ac:dyDescent="0.3">
      <c r="A84" s="119">
        <v>43452</v>
      </c>
      <c r="B84" s="108">
        <v>155.03149999999999</v>
      </c>
      <c r="C84" s="108">
        <v>87.9</v>
      </c>
      <c r="D84" s="108">
        <v>1612.296</v>
      </c>
      <c r="E84" s="108">
        <v>2070.9830700000002</v>
      </c>
      <c r="F84" s="108">
        <v>446121.88800000004</v>
      </c>
      <c r="G84" s="108">
        <v>3208.3200999999999</v>
      </c>
      <c r="H84" s="108">
        <v>22688.82</v>
      </c>
      <c r="I84" s="108">
        <v>1696.52505</v>
      </c>
      <c r="J84" s="108">
        <v>32517.399999999994</v>
      </c>
      <c r="K84" s="108">
        <v>4747.2925000000005</v>
      </c>
      <c r="L84" s="108">
        <v>32083.59764</v>
      </c>
      <c r="M84" s="108">
        <v>150.2235</v>
      </c>
      <c r="N84" s="108">
        <v>2514.2835999999998</v>
      </c>
      <c r="O84" s="108">
        <v>1549.2199999999998</v>
      </c>
      <c r="P84" s="109" t="s">
        <v>168</v>
      </c>
      <c r="Q84" s="108">
        <v>3221.1585999999998</v>
      </c>
      <c r="R84" s="108">
        <v>123470</v>
      </c>
      <c r="S84" s="108">
        <v>4867.6000000000004</v>
      </c>
      <c r="T84" s="108">
        <v>25868.550000000003</v>
      </c>
      <c r="U84" s="108">
        <v>2391.1044499999998</v>
      </c>
      <c r="V84" s="108">
        <v>4986.5867099999996</v>
      </c>
      <c r="W84" s="108">
        <v>39092.956400000003</v>
      </c>
      <c r="X84" s="108">
        <v>94555.504000000001</v>
      </c>
      <c r="Y84" s="108">
        <v>103503.47966</v>
      </c>
      <c r="Z84" s="108">
        <v>169429.16279</v>
      </c>
      <c r="AA84" s="108">
        <v>138910.41099999999</v>
      </c>
      <c r="AB84" s="108">
        <v>2643.5391399999999</v>
      </c>
      <c r="AC84" s="108">
        <v>20902.800000000003</v>
      </c>
      <c r="AD84" s="108">
        <v>931.09550000000002</v>
      </c>
      <c r="AE84" s="108">
        <v>199.61011000000002</v>
      </c>
      <c r="AF84" s="156">
        <v>0</v>
      </c>
      <c r="AG84" s="155"/>
      <c r="AH84" s="106"/>
      <c r="AI84" s="106"/>
    </row>
    <row r="85" spans="1:35" ht="17.25" customHeight="1" x14ac:dyDescent="0.25">
      <c r="A85" s="118">
        <v>43484</v>
      </c>
      <c r="B85" s="114">
        <v>677.44900000000007</v>
      </c>
      <c r="C85" s="114">
        <v>2562.9584</v>
      </c>
      <c r="D85" s="114">
        <v>205</v>
      </c>
      <c r="E85" s="114">
        <v>6997.9599399999997</v>
      </c>
      <c r="F85" s="114">
        <v>496243.40107999998</v>
      </c>
      <c r="G85" s="114">
        <v>7148.4225000000006</v>
      </c>
      <c r="H85" s="114">
        <v>46921.452409999998</v>
      </c>
      <c r="I85" s="114">
        <v>5543.4952300000004</v>
      </c>
      <c r="J85" s="114">
        <v>69995.463199999998</v>
      </c>
      <c r="K85" s="114">
        <v>8258.0040499999996</v>
      </c>
      <c r="L85" s="114">
        <v>43894.4902</v>
      </c>
      <c r="M85" s="114">
        <v>641.24579999999992</v>
      </c>
      <c r="N85" s="114">
        <v>18727.549100000004</v>
      </c>
      <c r="O85" s="114">
        <v>6929.3099999999986</v>
      </c>
      <c r="P85" s="115" t="s">
        <v>168</v>
      </c>
      <c r="Q85" s="114">
        <v>645.46990000000005</v>
      </c>
      <c r="R85" s="114">
        <v>141593</v>
      </c>
      <c r="S85" s="114">
        <v>46322.524359999996</v>
      </c>
      <c r="T85" s="114">
        <v>50945.219320000004</v>
      </c>
      <c r="U85" s="114">
        <v>9057.0910299999978</v>
      </c>
      <c r="V85" s="114">
        <v>14963.0833</v>
      </c>
      <c r="W85" s="114">
        <v>87750.570399999997</v>
      </c>
      <c r="X85" s="114">
        <v>141174.14848999999</v>
      </c>
      <c r="Y85" s="114">
        <v>143157.91519999999</v>
      </c>
      <c r="Z85" s="114">
        <v>202861.46471999999</v>
      </c>
      <c r="AA85" s="114">
        <v>141977.6636</v>
      </c>
      <c r="AB85" s="114">
        <v>10638.999250000001</v>
      </c>
      <c r="AC85" s="114">
        <v>58367.276680000003</v>
      </c>
      <c r="AD85" s="114">
        <v>15758.810900000002</v>
      </c>
      <c r="AE85" s="91">
        <v>1336.7693199999999</v>
      </c>
      <c r="AF85" s="158">
        <v>0</v>
      </c>
      <c r="AG85" s="155"/>
      <c r="AH85" s="106"/>
      <c r="AI85" s="106"/>
    </row>
    <row r="86" spans="1:35" ht="17.25" customHeight="1" x14ac:dyDescent="0.25">
      <c r="A86" s="117">
        <v>43515</v>
      </c>
      <c r="B86" s="111">
        <v>3007.2725000000005</v>
      </c>
      <c r="C86" s="111">
        <v>16620.627</v>
      </c>
      <c r="D86" s="111">
        <v>150</v>
      </c>
      <c r="E86" s="111">
        <v>19864.941010000002</v>
      </c>
      <c r="F86" s="111">
        <v>479826.84959999996</v>
      </c>
      <c r="G86" s="111">
        <v>9538.7641999999996</v>
      </c>
      <c r="H86" s="111">
        <v>97343.051760000075</v>
      </c>
      <c r="I86" s="111">
        <v>14672.651800000009</v>
      </c>
      <c r="J86" s="111">
        <v>180691.10720000003</v>
      </c>
      <c r="K86" s="111">
        <v>9964.469219999999</v>
      </c>
      <c r="L86" s="111">
        <v>276.726</v>
      </c>
      <c r="M86" s="111">
        <v>225.6345</v>
      </c>
      <c r="N86" s="111">
        <v>5569.2000000000007</v>
      </c>
      <c r="O86" s="111">
        <v>2154.8049999999998</v>
      </c>
      <c r="P86" s="112" t="s">
        <v>168</v>
      </c>
      <c r="Q86" s="111">
        <v>1561.0250999999998</v>
      </c>
      <c r="R86" s="111">
        <v>130042</v>
      </c>
      <c r="S86" s="111">
        <v>67313.232799999969</v>
      </c>
      <c r="T86" s="111">
        <v>135695.66144000003</v>
      </c>
      <c r="U86" s="111">
        <v>12914.868900000001</v>
      </c>
      <c r="V86" s="111">
        <v>14928.403749999999</v>
      </c>
      <c r="W86" s="111">
        <v>41332.800000000003</v>
      </c>
      <c r="X86" s="111">
        <v>61473.406999999999</v>
      </c>
      <c r="Y86" s="111">
        <v>104699.776</v>
      </c>
      <c r="Z86" s="111">
        <v>164759.66342</v>
      </c>
      <c r="AA86" s="111">
        <v>143878.75</v>
      </c>
      <c r="AB86" s="111">
        <v>5432.2616500000004</v>
      </c>
      <c r="AC86" s="111">
        <v>110851.80212000004</v>
      </c>
      <c r="AD86" s="111">
        <v>7236.5612999999985</v>
      </c>
      <c r="AE86" s="111">
        <v>611.40656999999999</v>
      </c>
      <c r="AF86" s="157">
        <v>0</v>
      </c>
      <c r="AG86" s="155"/>
      <c r="AH86" s="106"/>
      <c r="AI86" s="106"/>
    </row>
    <row r="87" spans="1:35" ht="17.25" customHeight="1" thickBot="1" x14ac:dyDescent="0.3">
      <c r="A87" s="116">
        <v>43543</v>
      </c>
      <c r="B87" s="108">
        <v>7689.4693000000007</v>
      </c>
      <c r="C87" s="108">
        <v>9566.1899999999987</v>
      </c>
      <c r="D87" s="108">
        <v>27990.759900000001</v>
      </c>
      <c r="E87" s="108">
        <v>7380.1793899999993</v>
      </c>
      <c r="F87" s="108">
        <v>281586.77182000002</v>
      </c>
      <c r="G87" s="108">
        <v>8791.3649999999998</v>
      </c>
      <c r="H87" s="108">
        <v>68416.038840000008</v>
      </c>
      <c r="I87" s="108">
        <v>4984.6022000000003</v>
      </c>
      <c r="J87" s="108">
        <v>146570.90720000002</v>
      </c>
      <c r="K87" s="108">
        <v>8625.6503000000012</v>
      </c>
      <c r="L87" s="108">
        <v>1451.5722000000001</v>
      </c>
      <c r="M87" s="108">
        <v>315.411</v>
      </c>
      <c r="N87" s="108">
        <v>7582.5748999999996</v>
      </c>
      <c r="O87" s="108">
        <v>3207.2575000000002</v>
      </c>
      <c r="P87" s="109" t="s">
        <v>168</v>
      </c>
      <c r="Q87" s="108">
        <v>648.18600000000004</v>
      </c>
      <c r="R87" s="108">
        <v>89310</v>
      </c>
      <c r="S87" s="108">
        <v>17210.886590000002</v>
      </c>
      <c r="T87" s="108">
        <v>86776.17932000001</v>
      </c>
      <c r="U87" s="108">
        <v>14024.092959999998</v>
      </c>
      <c r="V87" s="108">
        <v>8430.6283100000001</v>
      </c>
      <c r="W87" s="108">
        <v>39905.096400000002</v>
      </c>
      <c r="X87" s="108">
        <v>60722.142739999996</v>
      </c>
      <c r="Y87" s="108">
        <v>89587.479659999997</v>
      </c>
      <c r="Z87" s="108">
        <v>147671.28775000002</v>
      </c>
      <c r="AA87" s="108">
        <v>263048.30556000001</v>
      </c>
      <c r="AB87" s="108">
        <v>3902.6821099999997</v>
      </c>
      <c r="AC87" s="108">
        <v>90074.943480000031</v>
      </c>
      <c r="AD87" s="108">
        <v>10318.52658</v>
      </c>
      <c r="AE87" s="108">
        <v>598.42796999999996</v>
      </c>
      <c r="AF87" s="156">
        <v>104.1</v>
      </c>
      <c r="AG87" s="155"/>
      <c r="AH87" s="106"/>
      <c r="AI87" s="106"/>
    </row>
    <row r="88" spans="1:35" ht="17.25" customHeight="1" x14ac:dyDescent="0.25">
      <c r="A88" s="113">
        <v>43574</v>
      </c>
      <c r="B88" s="114">
        <v>31339.6001</v>
      </c>
      <c r="C88" s="114">
        <v>540.78156999999999</v>
      </c>
      <c r="D88" s="114">
        <v>45408.762600000009</v>
      </c>
      <c r="E88" s="114">
        <v>6475.1043799999979</v>
      </c>
      <c r="F88" s="114">
        <v>330245.66619999998</v>
      </c>
      <c r="G88" s="114">
        <v>8963.9044799999992</v>
      </c>
      <c r="H88" s="114">
        <v>97038.442350000027</v>
      </c>
      <c r="I88" s="114">
        <v>5403.2864999999993</v>
      </c>
      <c r="J88" s="114">
        <v>76526.743399999992</v>
      </c>
      <c r="K88" s="114">
        <v>19543.949499999995</v>
      </c>
      <c r="L88" s="114">
        <v>236.81319999999997</v>
      </c>
      <c r="M88" s="114">
        <v>300</v>
      </c>
      <c r="N88" s="114">
        <v>13929.530199999999</v>
      </c>
      <c r="O88" s="114">
        <v>1676.6256299999998</v>
      </c>
      <c r="P88" s="115" t="s">
        <v>168</v>
      </c>
      <c r="Q88" s="114">
        <v>1335.779</v>
      </c>
      <c r="R88" s="114">
        <v>83633</v>
      </c>
      <c r="S88" s="114">
        <v>36101.008500000011</v>
      </c>
      <c r="T88" s="114">
        <v>77613.179900000017</v>
      </c>
      <c r="U88" s="114">
        <v>8874.4371499999997</v>
      </c>
      <c r="V88" s="114">
        <v>8858.4373699999996</v>
      </c>
      <c r="W88" s="114">
        <v>21224.082000000002</v>
      </c>
      <c r="X88" s="114">
        <v>45623</v>
      </c>
      <c r="Y88" s="114">
        <v>100199.95931999999</v>
      </c>
      <c r="Z88" s="114">
        <v>170352.73058999999</v>
      </c>
      <c r="AA88" s="114">
        <v>272334.75</v>
      </c>
      <c r="AB88" s="114">
        <v>8788.9030300000013</v>
      </c>
      <c r="AC88" s="114">
        <v>77129.19279999999</v>
      </c>
      <c r="AD88" s="114">
        <v>5213.6380999999992</v>
      </c>
      <c r="AE88" s="91">
        <v>843.1270300000001</v>
      </c>
      <c r="AF88" s="158">
        <v>156</v>
      </c>
      <c r="AG88" s="155"/>
      <c r="AH88" s="106"/>
      <c r="AI88" s="106"/>
    </row>
    <row r="89" spans="1:35" ht="17.25" customHeight="1" x14ac:dyDescent="0.25">
      <c r="A89" s="110">
        <v>43604</v>
      </c>
      <c r="B89" s="111">
        <v>24559</v>
      </c>
      <c r="C89" s="111">
        <v>3555.0915800000016</v>
      </c>
      <c r="D89" s="111">
        <v>47840.142400000004</v>
      </c>
      <c r="E89" s="111">
        <v>5004.1300899999997</v>
      </c>
      <c r="F89" s="111">
        <v>153354.44747000001</v>
      </c>
      <c r="G89" s="111">
        <v>3186.3787999999995</v>
      </c>
      <c r="H89" s="111">
        <v>67670.779559999981</v>
      </c>
      <c r="I89" s="111">
        <v>3052.1196</v>
      </c>
      <c r="J89" s="111">
        <v>218977.64833999999</v>
      </c>
      <c r="K89" s="111">
        <v>5568.9755500000001</v>
      </c>
      <c r="L89" s="111">
        <v>181.0686</v>
      </c>
      <c r="M89" s="111">
        <v>0</v>
      </c>
      <c r="N89" s="111">
        <v>4320.8519999999999</v>
      </c>
      <c r="O89" s="111">
        <v>989.94499999999994</v>
      </c>
      <c r="P89" s="112" t="s">
        <v>168</v>
      </c>
      <c r="Q89" s="111">
        <v>776.58349999999996</v>
      </c>
      <c r="R89" s="111">
        <v>47994</v>
      </c>
      <c r="S89" s="111">
        <v>27855.085680000004</v>
      </c>
      <c r="T89" s="111">
        <v>153804.25937999997</v>
      </c>
      <c r="U89" s="111">
        <v>8720.4511600000005</v>
      </c>
      <c r="V89" s="111">
        <v>7334.1500000000005</v>
      </c>
      <c r="W89" s="111">
        <v>8621.4009999999998</v>
      </c>
      <c r="X89" s="111">
        <v>10436.371999999999</v>
      </c>
      <c r="Y89" s="111">
        <v>74276.447100000005</v>
      </c>
      <c r="Z89" s="111">
        <v>151325</v>
      </c>
      <c r="AA89" s="111">
        <v>109731.81080000001</v>
      </c>
      <c r="AB89" s="111">
        <v>13217.1186</v>
      </c>
      <c r="AC89" s="111">
        <v>148354.83936999997</v>
      </c>
      <c r="AD89" s="111">
        <v>2849.3272100000004</v>
      </c>
      <c r="AE89" s="111">
        <v>951.96440000000007</v>
      </c>
      <c r="AF89" s="157">
        <v>0</v>
      </c>
      <c r="AG89" s="155"/>
      <c r="AH89" s="106"/>
      <c r="AI89" s="106"/>
    </row>
    <row r="90" spans="1:35" ht="17.25" customHeight="1" thickBot="1" x14ac:dyDescent="0.3">
      <c r="A90" s="107">
        <v>43635</v>
      </c>
      <c r="B90" s="108">
        <v>9535.4691999999995</v>
      </c>
      <c r="C90" s="108">
        <v>1281.6257499999997</v>
      </c>
      <c r="D90" s="108">
        <v>97575.747049999991</v>
      </c>
      <c r="E90" s="108">
        <v>3134.0722799999999</v>
      </c>
      <c r="F90" s="108">
        <v>52667.627640000006</v>
      </c>
      <c r="G90" s="108">
        <v>2080.84</v>
      </c>
      <c r="H90" s="108">
        <v>58156.338900000002</v>
      </c>
      <c r="I90" s="108">
        <v>6911.6467299999995</v>
      </c>
      <c r="J90" s="108">
        <v>40696.932959999998</v>
      </c>
      <c r="K90" s="108">
        <v>3173.5611700000004</v>
      </c>
      <c r="L90" s="108">
        <v>5648.8755000000001</v>
      </c>
      <c r="M90" s="108">
        <v>58.952249999999999</v>
      </c>
      <c r="N90" s="108">
        <v>4768.7555999999995</v>
      </c>
      <c r="O90" s="108">
        <v>90.552500000000009</v>
      </c>
      <c r="P90" s="109" t="s">
        <v>168</v>
      </c>
      <c r="Q90" s="108">
        <v>1849.47165</v>
      </c>
      <c r="R90" s="108">
        <v>26374</v>
      </c>
      <c r="S90" s="108">
        <v>20519.28715</v>
      </c>
      <c r="T90" s="108">
        <v>41299.621849999996</v>
      </c>
      <c r="U90" s="108">
        <v>13038.108919999999</v>
      </c>
      <c r="V90" s="108">
        <v>5245.6647499999999</v>
      </c>
      <c r="W90" s="108">
        <v>8974.4</v>
      </c>
      <c r="X90" s="108">
        <v>17614</v>
      </c>
      <c r="Y90" s="108">
        <v>0</v>
      </c>
      <c r="Z90" s="108">
        <v>1536.4215100000001</v>
      </c>
      <c r="AA90" s="108">
        <v>17283</v>
      </c>
      <c r="AB90" s="108">
        <v>6676.19625</v>
      </c>
      <c r="AC90" s="108">
        <v>42378.037690000005</v>
      </c>
      <c r="AD90" s="108">
        <v>4694.3551599999992</v>
      </c>
      <c r="AE90" s="108">
        <v>844.64471000000003</v>
      </c>
      <c r="AF90" s="156">
        <v>1703.19</v>
      </c>
      <c r="AG90" s="155"/>
      <c r="AH90" s="106"/>
      <c r="AI90" s="106"/>
    </row>
    <row r="91" spans="1:35" ht="17.25" customHeight="1" x14ac:dyDescent="0.25">
      <c r="A91" s="123">
        <v>43665</v>
      </c>
      <c r="B91" s="111">
        <v>5808.7558999999992</v>
      </c>
      <c r="C91" s="111">
        <v>477.93824999999993</v>
      </c>
      <c r="D91" s="111">
        <v>97575.747049999991</v>
      </c>
      <c r="E91" s="111">
        <v>1035.60736</v>
      </c>
      <c r="F91" s="111">
        <v>19855.620080000001</v>
      </c>
      <c r="G91" s="111">
        <v>2497.8975</v>
      </c>
      <c r="H91" s="111">
        <v>60867.502829999983</v>
      </c>
      <c r="I91" s="111">
        <v>3220.1040999999996</v>
      </c>
      <c r="J91" s="111">
        <v>89313.508600000016</v>
      </c>
      <c r="K91" s="111">
        <v>2879.10358</v>
      </c>
      <c r="L91" s="111">
        <v>2696.4189000000001</v>
      </c>
      <c r="M91" s="111">
        <v>150.822</v>
      </c>
      <c r="N91" s="111">
        <v>2821.4519999999998</v>
      </c>
      <c r="O91" s="111">
        <v>382.27200000000005</v>
      </c>
      <c r="P91" s="112" t="s">
        <v>168</v>
      </c>
      <c r="Q91" s="111">
        <v>776.44166000000007</v>
      </c>
      <c r="R91" s="111">
        <v>8745</v>
      </c>
      <c r="S91" s="111">
        <v>10516.907509999999</v>
      </c>
      <c r="T91" s="111">
        <v>70181.056870000015</v>
      </c>
      <c r="U91" s="111">
        <v>13380.186079999996</v>
      </c>
      <c r="V91" s="111">
        <v>3591.6743099999999</v>
      </c>
      <c r="W91" s="111">
        <v>208.626</v>
      </c>
      <c r="X91" s="111">
        <v>6563.2692399999996</v>
      </c>
      <c r="Y91" s="111">
        <v>10072.479660000001</v>
      </c>
      <c r="Z91" s="111">
        <v>32156.947250000001</v>
      </c>
      <c r="AA91" s="111">
        <v>16277.305560000001</v>
      </c>
      <c r="AB91" s="111">
        <v>16834.757840000002</v>
      </c>
      <c r="AC91" s="111">
        <v>72447.790729999993</v>
      </c>
      <c r="AD91" s="111">
        <v>1815.6026100000001</v>
      </c>
      <c r="AE91" s="91">
        <v>931.69075999999995</v>
      </c>
      <c r="AF91" s="158">
        <v>0</v>
      </c>
      <c r="AG91" s="155"/>
      <c r="AH91" s="106"/>
      <c r="AI91" s="106"/>
    </row>
    <row r="92" spans="1:35" ht="17.25" customHeight="1" x14ac:dyDescent="0.25">
      <c r="A92" s="123">
        <v>43696</v>
      </c>
      <c r="B92" s="111">
        <v>631.53710000000001</v>
      </c>
      <c r="C92" s="111">
        <v>1215.56431</v>
      </c>
      <c r="D92" s="111">
        <v>9907.3366499999993</v>
      </c>
      <c r="E92" s="111">
        <v>185.56874999999997</v>
      </c>
      <c r="F92" s="111">
        <v>26612.554600000003</v>
      </c>
      <c r="G92" s="111">
        <v>3696.1640500000003</v>
      </c>
      <c r="H92" s="111">
        <v>27283.696880000007</v>
      </c>
      <c r="I92" s="111">
        <v>2647.7566999999999</v>
      </c>
      <c r="J92" s="111">
        <v>69052.491119999991</v>
      </c>
      <c r="K92" s="111">
        <v>2570.24305</v>
      </c>
      <c r="L92" s="111">
        <v>50.481000000000009</v>
      </c>
      <c r="M92" s="111">
        <v>75.411000000000001</v>
      </c>
      <c r="N92" s="111">
        <v>3539.4236000000005</v>
      </c>
      <c r="O92" s="111">
        <v>-21686.774999999998</v>
      </c>
      <c r="P92" s="111">
        <v>10910</v>
      </c>
      <c r="Q92" s="111">
        <v>184.11510000000001</v>
      </c>
      <c r="R92" s="111">
        <v>5788</v>
      </c>
      <c r="S92" s="111">
        <v>3554.6472999999996</v>
      </c>
      <c r="T92" s="111">
        <v>43147.137940000001</v>
      </c>
      <c r="U92" s="111">
        <v>3874.9877599999995</v>
      </c>
      <c r="V92" s="111">
        <v>4121.5532999999996</v>
      </c>
      <c r="W92" s="111">
        <v>0</v>
      </c>
      <c r="X92" s="111">
        <v>2186.5</v>
      </c>
      <c r="Y92" s="111">
        <v>10019.982</v>
      </c>
      <c r="Z92" s="111">
        <v>18602.24022</v>
      </c>
      <c r="AA92" s="111">
        <v>10162.411</v>
      </c>
      <c r="AB92" s="111">
        <v>3408.7464</v>
      </c>
      <c r="AC92" s="111">
        <v>44733.988919999996</v>
      </c>
      <c r="AD92" s="111">
        <v>502.46195</v>
      </c>
      <c r="AE92" s="111">
        <v>395.87711999999999</v>
      </c>
      <c r="AF92" s="157">
        <v>0</v>
      </c>
      <c r="AG92" s="155"/>
      <c r="AH92" s="106"/>
      <c r="AI92" s="106"/>
    </row>
    <row r="93" spans="1:35" ht="17.25" customHeight="1" thickBot="1" x14ac:dyDescent="0.3">
      <c r="A93" s="122">
        <v>43727</v>
      </c>
      <c r="B93" s="108">
        <v>376.2955</v>
      </c>
      <c r="C93" s="108">
        <v>228.09005999999999</v>
      </c>
      <c r="D93" s="108">
        <v>0.2838</v>
      </c>
      <c r="E93" s="108">
        <v>336.55378000000007</v>
      </c>
      <c r="F93" s="108">
        <v>92294.97</v>
      </c>
      <c r="G93" s="108">
        <v>2669.0455999999999</v>
      </c>
      <c r="H93" s="108">
        <v>22079.534149999996</v>
      </c>
      <c r="I93" s="108">
        <v>2130.2613000000001</v>
      </c>
      <c r="J93" s="108">
        <v>39989.9804</v>
      </c>
      <c r="K93" s="108">
        <v>3704.02819</v>
      </c>
      <c r="L93" s="108">
        <v>1359.0192000000002</v>
      </c>
      <c r="M93" s="108">
        <v>60.448500000000003</v>
      </c>
      <c r="N93" s="108">
        <v>12104.304</v>
      </c>
      <c r="O93" s="108">
        <v>-9514.5099999999984</v>
      </c>
      <c r="P93" s="108">
        <v>5170</v>
      </c>
      <c r="Q93" s="108">
        <v>24.917750000000002</v>
      </c>
      <c r="R93" s="108">
        <v>32650.913399999998</v>
      </c>
      <c r="S93" s="108">
        <v>2037.6</v>
      </c>
      <c r="T93" s="108">
        <v>20216.675899999998</v>
      </c>
      <c r="U93" s="108">
        <v>6018.3463099999981</v>
      </c>
      <c r="V93" s="108">
        <v>2125.24575</v>
      </c>
      <c r="W93" s="108">
        <v>1327.2</v>
      </c>
      <c r="X93" s="108">
        <v>23382.355459999999</v>
      </c>
      <c r="Y93" s="108">
        <v>23850.029340000001</v>
      </c>
      <c r="Z93" s="108">
        <v>46351.89645</v>
      </c>
      <c r="AA93" s="108">
        <v>52952.620609999998</v>
      </c>
      <c r="AB93" s="108">
        <v>3266.9288500000002</v>
      </c>
      <c r="AC93" s="108">
        <v>26882.575400000002</v>
      </c>
      <c r="AD93" s="108">
        <v>224.12195000000003</v>
      </c>
      <c r="AE93" s="108">
        <v>110.18184999999998</v>
      </c>
      <c r="AF93" s="156">
        <v>0</v>
      </c>
      <c r="AG93" s="155"/>
      <c r="AH93" s="106"/>
      <c r="AI93" s="106"/>
    </row>
    <row r="94" spans="1:35" ht="17.25" customHeight="1" x14ac:dyDescent="0.25">
      <c r="A94" s="121">
        <v>43757</v>
      </c>
      <c r="B94" s="114">
        <v>925.66410000000019</v>
      </c>
      <c r="C94" s="114">
        <v>839.81466</v>
      </c>
      <c r="D94" s="114">
        <v>46</v>
      </c>
      <c r="E94" s="114">
        <v>3035.0982599999998</v>
      </c>
      <c r="F94" s="114">
        <v>455093.32208000001</v>
      </c>
      <c r="G94" s="114">
        <v>3693.0271000000002</v>
      </c>
      <c r="H94" s="114">
        <v>20304.28269</v>
      </c>
      <c r="I94" s="114">
        <v>3871.9372499999999</v>
      </c>
      <c r="J94" s="114">
        <v>124587.68759999998</v>
      </c>
      <c r="K94" s="114">
        <v>1063.03801</v>
      </c>
      <c r="L94" s="114">
        <v>2409.3623000000007</v>
      </c>
      <c r="M94" s="114">
        <v>-3037.5817000000002</v>
      </c>
      <c r="N94" s="114">
        <v>11210.623349999998</v>
      </c>
      <c r="O94" s="114">
        <v>180.2895</v>
      </c>
      <c r="P94" s="115" t="s">
        <v>168</v>
      </c>
      <c r="Q94" s="114">
        <v>1.1046</v>
      </c>
      <c r="R94" s="114">
        <v>123882</v>
      </c>
      <c r="S94" s="114">
        <v>734.69705999999996</v>
      </c>
      <c r="T94" s="114">
        <v>77411.018620000017</v>
      </c>
      <c r="U94" s="114">
        <v>3008.1726100000001</v>
      </c>
      <c r="V94" s="114">
        <v>7043.3545099999992</v>
      </c>
      <c r="W94" s="114">
        <v>16387.5831</v>
      </c>
      <c r="X94" s="114">
        <v>84049.52304</v>
      </c>
      <c r="Y94" s="114">
        <v>98639.479659999997</v>
      </c>
      <c r="Z94" s="114">
        <v>149815.71885</v>
      </c>
      <c r="AA94" s="114">
        <v>156118.39455999999</v>
      </c>
      <c r="AB94" s="114">
        <v>3596.0286900000001</v>
      </c>
      <c r="AC94" s="114">
        <v>68056.486380000017</v>
      </c>
      <c r="AD94" s="114">
        <v>788.23765000000003</v>
      </c>
      <c r="AE94" s="91">
        <v>424.05006999999995</v>
      </c>
      <c r="AF94" s="158">
        <v>0</v>
      </c>
      <c r="AG94" s="155"/>
      <c r="AH94" s="106"/>
      <c r="AI94" s="106"/>
    </row>
    <row r="95" spans="1:35" ht="17.25" customHeight="1" x14ac:dyDescent="0.25">
      <c r="A95" s="120">
        <v>43788</v>
      </c>
      <c r="B95" s="111">
        <v>59564.077300000004</v>
      </c>
      <c r="C95" s="111">
        <v>15.92</v>
      </c>
      <c r="D95" s="111">
        <v>16.398</v>
      </c>
      <c r="E95" s="111">
        <v>1589.5899100000001</v>
      </c>
      <c r="F95" s="111">
        <v>553041.89599999995</v>
      </c>
      <c r="G95" s="111">
        <v>3040.8137500000003</v>
      </c>
      <c r="H95" s="111">
        <v>13203.185000000001</v>
      </c>
      <c r="I95" s="111">
        <v>1963.7496500000002</v>
      </c>
      <c r="J95" s="111">
        <v>17616.668659999999</v>
      </c>
      <c r="K95" s="111">
        <v>4814.8553999999995</v>
      </c>
      <c r="L95" s="111">
        <v>157.72649999999999</v>
      </c>
      <c r="M95" s="111">
        <v>0</v>
      </c>
      <c r="N95" s="111">
        <v>18763.261399999999</v>
      </c>
      <c r="O95" s="111">
        <v>1081.835</v>
      </c>
      <c r="P95" s="112" t="s">
        <v>168</v>
      </c>
      <c r="Q95" s="111">
        <v>1123.9997000000001</v>
      </c>
      <c r="R95" s="111">
        <v>150287</v>
      </c>
      <c r="S95" s="111">
        <v>12909.690399999999</v>
      </c>
      <c r="T95" s="111">
        <v>13176.327879999999</v>
      </c>
      <c r="U95" s="111">
        <v>2201.1776500000001</v>
      </c>
      <c r="V95" s="111">
        <v>10622.314780000002</v>
      </c>
      <c r="W95" s="111">
        <v>48908.955399999999</v>
      </c>
      <c r="X95" s="111">
        <v>110966.9948</v>
      </c>
      <c r="Y95" s="111">
        <v>151492</v>
      </c>
      <c r="Z95" s="111">
        <v>235093.25302999999</v>
      </c>
      <c r="AA95" s="111">
        <v>170702.5</v>
      </c>
      <c r="AB95" s="111">
        <v>3447.3564999999994</v>
      </c>
      <c r="AC95" s="111">
        <v>10158.42866</v>
      </c>
      <c r="AD95" s="111">
        <v>1156.1477399999999</v>
      </c>
      <c r="AE95" s="111">
        <v>418.52002999999996</v>
      </c>
      <c r="AF95" s="157">
        <v>0</v>
      </c>
      <c r="AG95" s="155"/>
      <c r="AH95" s="106"/>
      <c r="AI95" s="106"/>
    </row>
    <row r="96" spans="1:35" ht="17.25" customHeight="1" thickBot="1" x14ac:dyDescent="0.3">
      <c r="A96" s="119">
        <v>43818</v>
      </c>
      <c r="B96" s="108">
        <v>61746.542999999998</v>
      </c>
      <c r="C96" s="108">
        <v>234.8</v>
      </c>
      <c r="D96" s="108">
        <v>0</v>
      </c>
      <c r="E96" s="108">
        <v>2472.9130699999996</v>
      </c>
      <c r="F96" s="108">
        <v>425503.75099999999</v>
      </c>
      <c r="G96" s="108">
        <v>907.53120000000001</v>
      </c>
      <c r="H96" s="108">
        <v>39352.511399999996</v>
      </c>
      <c r="I96" s="108">
        <v>2911.0010499999999</v>
      </c>
      <c r="J96" s="108">
        <v>39229.0772</v>
      </c>
      <c r="K96" s="108">
        <v>8629.1396499999973</v>
      </c>
      <c r="L96" s="108">
        <v>3538.4407799999999</v>
      </c>
      <c r="M96" s="108">
        <v>420.44850000000002</v>
      </c>
      <c r="N96" s="108">
        <v>7701.6159999999991</v>
      </c>
      <c r="O96" s="108">
        <v>1463.6949999999997</v>
      </c>
      <c r="P96" s="109" t="s">
        <v>168</v>
      </c>
      <c r="Q96" s="108">
        <v>1363.0884999999998</v>
      </c>
      <c r="R96" s="108">
        <v>133435</v>
      </c>
      <c r="S96" s="108">
        <v>3735.6</v>
      </c>
      <c r="T96" s="108">
        <v>26552.286599999999</v>
      </c>
      <c r="U96" s="108">
        <v>3616.6893999999998</v>
      </c>
      <c r="V96" s="108">
        <v>327.68399999999997</v>
      </c>
      <c r="W96" s="108">
        <v>29132.504400000002</v>
      </c>
      <c r="X96" s="108">
        <v>71079</v>
      </c>
      <c r="Y96" s="108">
        <v>104993.0196</v>
      </c>
      <c r="Z96" s="108">
        <v>192179.6925</v>
      </c>
      <c r="AA96" s="108">
        <v>119959.66099999999</v>
      </c>
      <c r="AB96" s="108">
        <v>3808.4382500000002</v>
      </c>
      <c r="AC96" s="108">
        <v>21427.397199999999</v>
      </c>
      <c r="AD96" s="108">
        <v>1494.1629999999998</v>
      </c>
      <c r="AE96" s="108">
        <v>13.5654</v>
      </c>
      <c r="AF96" s="156">
        <v>0</v>
      </c>
      <c r="AG96" s="155"/>
      <c r="AH96" s="106"/>
      <c r="AI96" s="106"/>
    </row>
    <row r="97" spans="1:35" ht="17.25" customHeight="1" x14ac:dyDescent="0.25">
      <c r="A97" s="118">
        <v>43850</v>
      </c>
      <c r="B97" s="114">
        <v>1201.3031000000001</v>
      </c>
      <c r="C97" s="114">
        <v>3301.4188999999997</v>
      </c>
      <c r="D97" s="114">
        <v>68449.536399999983</v>
      </c>
      <c r="E97" s="114">
        <v>8725.0224299999991</v>
      </c>
      <c r="F97" s="114">
        <v>557460.12300000002</v>
      </c>
      <c r="G97" s="114">
        <v>6546.9130000000005</v>
      </c>
      <c r="H97" s="114">
        <v>73756.142860000007</v>
      </c>
      <c r="I97" s="114">
        <v>5764.4081999999999</v>
      </c>
      <c r="J97" s="114">
        <v>59701.579600000005</v>
      </c>
      <c r="K97" s="114">
        <v>11719.986099999995</v>
      </c>
      <c r="L97" s="114">
        <v>21040.840549999997</v>
      </c>
      <c r="M97" s="114">
        <v>301.0455</v>
      </c>
      <c r="N97" s="114">
        <v>4072.0700999999995</v>
      </c>
      <c r="O97" s="114">
        <v>5021.79</v>
      </c>
      <c r="P97" s="115" t="s">
        <v>168</v>
      </c>
      <c r="Q97" s="114">
        <v>4569.4849000000004</v>
      </c>
      <c r="R97" s="114">
        <v>178528</v>
      </c>
      <c r="S97" s="114">
        <v>15682.521400000001</v>
      </c>
      <c r="T97" s="114">
        <v>40310.780160000002</v>
      </c>
      <c r="U97" s="114">
        <v>8601.9891000000007</v>
      </c>
      <c r="V97" s="114">
        <v>8485.705750000001</v>
      </c>
      <c r="W97" s="114">
        <v>71464.798400000014</v>
      </c>
      <c r="X97" s="114">
        <v>121442.24619999999</v>
      </c>
      <c r="Y97" s="114">
        <v>150000</v>
      </c>
      <c r="Z97" s="114">
        <v>246012.33630999998</v>
      </c>
      <c r="AA97" s="114">
        <v>136360.5</v>
      </c>
      <c r="AB97" s="114">
        <v>16569.951950000006</v>
      </c>
      <c r="AC97" s="114">
        <v>30199.551100000001</v>
      </c>
      <c r="AD97" s="114">
        <v>9518.8311599999979</v>
      </c>
      <c r="AE97" s="91">
        <v>375.01041000000004</v>
      </c>
      <c r="AF97" s="158">
        <v>0</v>
      </c>
      <c r="AG97" s="155"/>
      <c r="AH97" s="106"/>
      <c r="AI97" s="106"/>
    </row>
    <row r="98" spans="1:35" ht="17.25" customHeight="1" x14ac:dyDescent="0.25">
      <c r="A98" s="117">
        <v>43881</v>
      </c>
      <c r="B98" s="111">
        <v>63416.681699999994</v>
      </c>
      <c r="C98" s="111">
        <v>34742.394980000005</v>
      </c>
      <c r="D98" s="111">
        <v>4914.0919999999996</v>
      </c>
      <c r="E98" s="111">
        <v>13746.388169999997</v>
      </c>
      <c r="F98" s="111">
        <v>463740.54319999996</v>
      </c>
      <c r="G98" s="111">
        <v>16196.923550000001</v>
      </c>
      <c r="H98" s="111">
        <v>87434.748260000008</v>
      </c>
      <c r="I98" s="111">
        <v>8072.8755499999997</v>
      </c>
      <c r="J98" s="111">
        <v>69281.137620000009</v>
      </c>
      <c r="K98" s="111">
        <v>7630.0650500000002</v>
      </c>
      <c r="L98" s="111">
        <v>440.51490000000001</v>
      </c>
      <c r="M98" s="111">
        <v>75.411000000000001</v>
      </c>
      <c r="N98" s="111">
        <v>9937.0032500000016</v>
      </c>
      <c r="O98" s="111">
        <v>2085.7030999999997</v>
      </c>
      <c r="P98" s="112" t="s">
        <v>168</v>
      </c>
      <c r="Q98" s="111">
        <v>3734.4275999999995</v>
      </c>
      <c r="R98" s="111">
        <v>134381</v>
      </c>
      <c r="S98" s="111">
        <v>55249.141229999987</v>
      </c>
      <c r="T98" s="111">
        <v>71193.112290000005</v>
      </c>
      <c r="U98" s="111">
        <v>24189.28599</v>
      </c>
      <c r="V98" s="111">
        <v>7223.8842500000001</v>
      </c>
      <c r="W98" s="111">
        <v>52052.160000000003</v>
      </c>
      <c r="X98" s="111">
        <v>67477.75</v>
      </c>
      <c r="Y98" s="111">
        <v>115010</v>
      </c>
      <c r="Z98" s="111">
        <v>246743.09422</v>
      </c>
      <c r="AA98" s="111">
        <v>131916.82199999999</v>
      </c>
      <c r="AB98" s="111">
        <v>2954.4109500000004</v>
      </c>
      <c r="AC98" s="111">
        <v>67650.650250000006</v>
      </c>
      <c r="AD98" s="111">
        <v>11671.522010000001</v>
      </c>
      <c r="AE98" s="111">
        <v>309.23106999999999</v>
      </c>
      <c r="AF98" s="157">
        <v>0</v>
      </c>
      <c r="AG98" s="155"/>
      <c r="AH98" s="106"/>
      <c r="AI98" s="106"/>
    </row>
    <row r="99" spans="1:35" ht="17.25" customHeight="1" thickBot="1" x14ac:dyDescent="0.3">
      <c r="A99" s="116">
        <v>43919</v>
      </c>
      <c r="B99" s="108">
        <v>84349.209600000002</v>
      </c>
      <c r="C99" s="108">
        <v>7225.772750000001</v>
      </c>
      <c r="D99" s="108">
        <v>32336.903399999999</v>
      </c>
      <c r="E99" s="108">
        <v>8906.5989399999999</v>
      </c>
      <c r="F99" s="108">
        <v>407093.62138000003</v>
      </c>
      <c r="G99" s="108">
        <v>7573.1125000000011</v>
      </c>
      <c r="H99" s="108">
        <v>116187.39109</v>
      </c>
      <c r="I99" s="108">
        <v>16775.73863</v>
      </c>
      <c r="J99" s="108">
        <v>152429.11997999999</v>
      </c>
      <c r="K99" s="108">
        <v>8332.1667200000011</v>
      </c>
      <c r="L99" s="108">
        <v>6184.4291999999996</v>
      </c>
      <c r="M99" s="108">
        <v>265.447</v>
      </c>
      <c r="N99" s="108">
        <v>4996.365499999999</v>
      </c>
      <c r="O99" s="108">
        <v>2479.8780999999999</v>
      </c>
      <c r="P99" s="109" t="s">
        <v>168</v>
      </c>
      <c r="Q99" s="108">
        <v>5376.0984599999992</v>
      </c>
      <c r="R99" s="108">
        <v>125186.6624</v>
      </c>
      <c r="S99" s="108">
        <v>35617.889009999992</v>
      </c>
      <c r="T99" s="108">
        <v>113718.26016000002</v>
      </c>
      <c r="U99" s="108">
        <v>18145.591379999998</v>
      </c>
      <c r="V99" s="108">
        <v>7051.2224600000009</v>
      </c>
      <c r="W99" s="108">
        <v>32851.921999999999</v>
      </c>
      <c r="X99" s="108">
        <v>78530.210200000001</v>
      </c>
      <c r="Y99" s="108">
        <v>118397.47966</v>
      </c>
      <c r="Z99" s="108">
        <v>197120.13449999999</v>
      </c>
      <c r="AA99" s="108">
        <v>228496.18852</v>
      </c>
      <c r="AB99" s="108">
        <v>5668.7897399999993</v>
      </c>
      <c r="AC99" s="108">
        <v>112690.96156000003</v>
      </c>
      <c r="AD99" s="108">
        <v>13032.28649</v>
      </c>
      <c r="AE99" s="108">
        <v>9740.5450199999977</v>
      </c>
      <c r="AF99" s="156">
        <v>1490.1</v>
      </c>
      <c r="AG99" s="155"/>
      <c r="AH99" s="106"/>
      <c r="AI99" s="106"/>
    </row>
    <row r="100" spans="1:35" ht="17.25" customHeight="1" x14ac:dyDescent="0.25">
      <c r="A100" s="113">
        <v>43941</v>
      </c>
      <c r="B100" s="114">
        <v>0</v>
      </c>
      <c r="C100" s="114">
        <v>1348.59645</v>
      </c>
      <c r="D100" s="114">
        <v>18650.170000000002</v>
      </c>
      <c r="E100" s="114">
        <v>4400.5803999999998</v>
      </c>
      <c r="F100" s="114">
        <v>391234.27875</v>
      </c>
      <c r="G100" s="114">
        <v>5320.0535</v>
      </c>
      <c r="H100" s="114">
        <v>61998.555609999996</v>
      </c>
      <c r="I100" s="114">
        <v>46530.476799999997</v>
      </c>
      <c r="J100" s="114">
        <v>48114.554400000001</v>
      </c>
      <c r="K100" s="114">
        <v>5017.2800500000003</v>
      </c>
      <c r="L100" s="114">
        <v>84.073800000000006</v>
      </c>
      <c r="M100" s="114">
        <v>75.411000000000001</v>
      </c>
      <c r="N100" s="114">
        <v>24286.67</v>
      </c>
      <c r="O100" s="114">
        <v>1314.15</v>
      </c>
      <c r="P100" s="115" t="s">
        <v>168</v>
      </c>
      <c r="Q100" s="114">
        <v>2219.6961500000002</v>
      </c>
      <c r="R100" s="114">
        <v>40294</v>
      </c>
      <c r="S100" s="114">
        <v>63465.2762</v>
      </c>
      <c r="T100" s="114">
        <v>58561.928599999999</v>
      </c>
      <c r="U100" s="114">
        <v>9126.4905999999992</v>
      </c>
      <c r="V100" s="114">
        <v>6836.2000000000007</v>
      </c>
      <c r="W100" s="114">
        <v>40744.357400000001</v>
      </c>
      <c r="X100" s="114">
        <v>92772</v>
      </c>
      <c r="Y100" s="114">
        <v>129785</v>
      </c>
      <c r="Z100" s="114">
        <v>198045.44200000001</v>
      </c>
      <c r="AA100" s="114">
        <v>236378.22349999999</v>
      </c>
      <c r="AB100" s="114">
        <v>610.51459999999997</v>
      </c>
      <c r="AC100" s="114">
        <v>61184.205800000003</v>
      </c>
      <c r="AD100" s="114">
        <v>3082.4530499999996</v>
      </c>
      <c r="AE100" s="91">
        <v>941.88940000000002</v>
      </c>
      <c r="AF100" s="158">
        <v>218.5</v>
      </c>
      <c r="AG100" s="155"/>
      <c r="AH100" s="106"/>
      <c r="AI100" s="106"/>
    </row>
    <row r="101" spans="1:35" ht="17.25" customHeight="1" x14ac:dyDescent="0.25">
      <c r="A101" s="110">
        <v>43971</v>
      </c>
      <c r="B101" s="111">
        <v>5103.0418</v>
      </c>
      <c r="C101" s="111">
        <v>2353.6758300000001</v>
      </c>
      <c r="D101" s="111">
        <v>54491.366199999997</v>
      </c>
      <c r="E101" s="111">
        <v>2562.7935400000006</v>
      </c>
      <c r="F101" s="111">
        <v>240174.97288000002</v>
      </c>
      <c r="G101" s="111">
        <v>2328.8173000000002</v>
      </c>
      <c r="H101" s="111">
        <v>28227.905830000003</v>
      </c>
      <c r="I101" s="111">
        <v>7065.80728</v>
      </c>
      <c r="J101" s="111">
        <v>117250.89269999998</v>
      </c>
      <c r="K101" s="111">
        <v>3378.6688999999997</v>
      </c>
      <c r="L101" s="111">
        <v>11020.4319</v>
      </c>
      <c r="M101" s="111">
        <v>150.822</v>
      </c>
      <c r="N101" s="111">
        <v>2924.5392500000007</v>
      </c>
      <c r="O101" s="111">
        <v>611.11699999999996</v>
      </c>
      <c r="P101" s="112" t="s">
        <v>168</v>
      </c>
      <c r="Q101" s="111">
        <v>675.04636000000005</v>
      </c>
      <c r="R101" s="111">
        <v>57441</v>
      </c>
      <c r="S101" s="111">
        <v>12196.002410000001</v>
      </c>
      <c r="T101" s="111">
        <v>87261.223530000032</v>
      </c>
      <c r="U101" s="111">
        <v>1619.5497500000001</v>
      </c>
      <c r="V101" s="111">
        <v>10344.4004</v>
      </c>
      <c r="W101" s="111">
        <v>11856.882</v>
      </c>
      <c r="X101" s="111">
        <v>41316.379840000001</v>
      </c>
      <c r="Y101" s="111">
        <v>80159.154899999994</v>
      </c>
      <c r="Z101" s="111">
        <v>136758.21831999999</v>
      </c>
      <c r="AA101" s="111">
        <v>133262.11806000001</v>
      </c>
      <c r="AB101" s="111">
        <v>10480.6265</v>
      </c>
      <c r="AC101" s="111">
        <v>79206.514170000009</v>
      </c>
      <c r="AD101" s="111">
        <v>1162.8104699999999</v>
      </c>
      <c r="AE101" s="111">
        <v>680.39451999999994</v>
      </c>
      <c r="AF101" s="157">
        <v>150</v>
      </c>
      <c r="AG101" s="155"/>
      <c r="AH101" s="106"/>
      <c r="AI101" s="106"/>
    </row>
    <row r="102" spans="1:35" ht="17.25" customHeight="1" thickBot="1" x14ac:dyDescent="0.3">
      <c r="A102" s="107">
        <v>44002</v>
      </c>
      <c r="B102" s="108">
        <v>1253.3031000000001</v>
      </c>
      <c r="C102" s="108">
        <v>1832.6133299999999</v>
      </c>
      <c r="D102" s="108">
        <v>74488.835200000001</v>
      </c>
      <c r="E102" s="108">
        <v>2121.2731399999998</v>
      </c>
      <c r="F102" s="108">
        <v>24610.976999999999</v>
      </c>
      <c r="G102" s="108">
        <v>7444.3652999999995</v>
      </c>
      <c r="H102" s="108">
        <v>72056.49807999999</v>
      </c>
      <c r="I102" s="108">
        <v>6152.287260000001</v>
      </c>
      <c r="J102" s="108">
        <v>97195.550799999983</v>
      </c>
      <c r="K102" s="108">
        <v>4428.6077999999998</v>
      </c>
      <c r="L102" s="108">
        <v>742.05585999999994</v>
      </c>
      <c r="M102" s="108">
        <v>490.42380000000003</v>
      </c>
      <c r="N102" s="108">
        <v>2847.6480000000001</v>
      </c>
      <c r="O102" s="108">
        <v>294.33560000000006</v>
      </c>
      <c r="P102" s="109" t="s">
        <v>168</v>
      </c>
      <c r="Q102" s="108">
        <v>575.58839999999998</v>
      </c>
      <c r="R102" s="108">
        <v>9230</v>
      </c>
      <c r="S102" s="108">
        <v>8462.0774000000001</v>
      </c>
      <c r="T102" s="108">
        <v>73132.923900000023</v>
      </c>
      <c r="U102" s="108">
        <v>10888.985189999999</v>
      </c>
      <c r="V102" s="108">
        <v>1164.9575600000001</v>
      </c>
      <c r="W102" s="108">
        <v>5056</v>
      </c>
      <c r="X102" s="108">
        <v>4193.7739600000004</v>
      </c>
      <c r="Y102" s="108">
        <v>10162.60766</v>
      </c>
      <c r="Z102" s="108">
        <v>17002.209940000001</v>
      </c>
      <c r="AA102" s="108">
        <v>18366</v>
      </c>
      <c r="AB102" s="108">
        <v>3555.73794</v>
      </c>
      <c r="AC102" s="108">
        <v>82366.186199999996</v>
      </c>
      <c r="AD102" s="108">
        <v>3959.5714699999999</v>
      </c>
      <c r="AE102" s="108">
        <v>571.91485999999998</v>
      </c>
      <c r="AF102" s="156">
        <v>150</v>
      </c>
      <c r="AG102" s="155"/>
      <c r="AH102" s="106"/>
      <c r="AI102" s="106"/>
    </row>
    <row r="112" spans="1:35" ht="17.25" customHeight="1" x14ac:dyDescent="0.25">
      <c r="A112" s="106"/>
    </row>
    <row r="113" spans="1:1" ht="17.25" customHeight="1" x14ac:dyDescent="0.25">
      <c r="A113" s="106"/>
    </row>
    <row r="114" spans="1:1" ht="17.25" customHeight="1" x14ac:dyDescent="0.25">
      <c r="A114" s="106"/>
    </row>
    <row r="115" spans="1:1" ht="17.25" customHeight="1" x14ac:dyDescent="0.25">
      <c r="A115" s="106"/>
    </row>
    <row r="116" spans="1:1" ht="17.25" customHeight="1" x14ac:dyDescent="0.25">
      <c r="A116" s="106"/>
    </row>
    <row r="133" spans="1:1" ht="17.25" customHeight="1" x14ac:dyDescent="0.25">
      <c r="A133" s="106"/>
    </row>
    <row r="134" spans="1:1" ht="17.25" customHeight="1" x14ac:dyDescent="0.25">
      <c r="A134" s="106"/>
    </row>
    <row r="135" spans="1:1" ht="17.25" customHeight="1" x14ac:dyDescent="0.25">
      <c r="A135" s="106"/>
    </row>
    <row r="136" spans="1:1" ht="17.25" customHeight="1" x14ac:dyDescent="0.25">
      <c r="A136" s="106"/>
    </row>
    <row r="137" spans="1:1" ht="17.25" customHeight="1" x14ac:dyDescent="0.25">
      <c r="A137" s="106"/>
    </row>
  </sheetData>
  <pageMargins left="0.7" right="0.7" top="0.75" bottom="0.75" header="0.3" footer="0.3"/>
  <pageSetup orientation="portrait" verticalDpi="0" r:id="rId1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09FCC7C63FD64D9C9CCFB070940252" ma:contentTypeVersion="12" ma:contentTypeDescription="Create a new document." ma:contentTypeScope="" ma:versionID="aabd2b63281980d3be36b493c19821e4">
  <xsd:schema xmlns:xsd="http://www.w3.org/2001/XMLSchema" xmlns:xs="http://www.w3.org/2001/XMLSchema" xmlns:p="http://schemas.microsoft.com/office/2006/metadata/properties" xmlns:ns3="8efc5ba7-16a9-4920-8f1e-40e8570b6885" xmlns:ns4="652eeb90-901d-4645-95df-43eb85821845" targetNamespace="http://schemas.microsoft.com/office/2006/metadata/properties" ma:root="true" ma:fieldsID="9b280077796559955266f992942ef214" ns3:_="" ns4:_="">
    <xsd:import namespace="8efc5ba7-16a9-4920-8f1e-40e8570b6885"/>
    <xsd:import namespace="652eeb90-901d-4645-95df-43eb8582184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c5ba7-16a9-4920-8f1e-40e8570b688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eeb90-901d-4645-95df-43eb8582184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fc5ba7-16a9-4920-8f1e-40e8570b68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D2D866-8C92-4FE0-8382-D86BFA1775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fc5ba7-16a9-4920-8f1e-40e8570b6885"/>
    <ds:schemaRef ds:uri="652eeb90-901d-4645-95df-43eb858218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12B70E-9575-4829-8CAD-BFC07939688E}">
  <ds:schemaRefs>
    <ds:schemaRef ds:uri="8efc5ba7-16a9-4920-8f1e-40e8570b6885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652eeb90-901d-4645-95df-43eb8582184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7D4C18-8FC3-4979-ADB8-0A61073842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New Yearly Report</vt:lpstr>
      <vt:lpstr>New Quarterly Report</vt:lpstr>
      <vt:lpstr>FY13-23 Full Data</vt:lpstr>
      <vt:lpstr>GP QTY</vt:lpstr>
      <vt:lpstr>Quarterly Report</vt:lpstr>
      <vt:lpstr>FY23 Data</vt:lpstr>
      <vt:lpstr>FY22 Data </vt:lpstr>
      <vt:lpstr>FY21 Data</vt:lpstr>
      <vt:lpstr>'New Quarterly Report'!Print_Area</vt:lpstr>
      <vt:lpstr>'New Yearly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Hayley Pena</dc:creator>
  <cp:keywords/>
  <dc:description/>
  <cp:lastModifiedBy>Kenny Bryant</cp:lastModifiedBy>
  <cp:revision/>
  <cp:lastPrinted>2023-07-11T01:01:20Z</cp:lastPrinted>
  <dcterms:created xsi:type="dcterms:W3CDTF">2017-08-03T20:42:54Z</dcterms:created>
  <dcterms:modified xsi:type="dcterms:W3CDTF">2025-04-07T19:40:55Z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0x010100F109FCC7C63FD64D9C9CCFB070940252</vt:lpwstr>
  </property>
</Properties>
</file>